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مدیریت\منا صفاجو\صفاجو\shakhsi\"/>
    </mc:Choice>
  </mc:AlternateContent>
  <bookViews>
    <workbookView xWindow="-120" yWindow="-120" windowWidth="29040" windowHeight="15840" firstSheet="1" activeTab="5"/>
  </bookViews>
  <sheets>
    <sheet name="راهنما" sheetId="1" state="hidden" r:id="rId1"/>
    <sheet name="داده های ورودی" sheetId="4" r:id="rId2"/>
    <sheet name="صورت سود و زیان" sheetId="8" r:id="rId3"/>
    <sheet name="صورت وضعیت مالی" sheetId="7" r:id="rId4"/>
    <sheet name="نقد حاصل از عملیات" sheetId="2" r:id="rId5"/>
    <sheet name="جریان وجوه نقد" sheetId="6" r:id="rId6"/>
    <sheet name="تست" sheetId="9" state="hidden" r:id="rId7"/>
    <sheet name="محاسبات و تحلیل" sheetId="3" r:id="rId8"/>
  </sheets>
  <externalReferences>
    <externalReference r:id="rId9"/>
  </externalReferences>
  <definedNames>
    <definedName name="_xlnm.Print_Area" localSheetId="5">'جریان وجوه نقد'!$A$1:$F$25</definedName>
    <definedName name="_xlnm.Print_Area" localSheetId="3">'صورت وضعیت مالی'!$A$1:$E$34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6" l="1"/>
  <c r="C6" i="8"/>
  <c r="C27" i="7"/>
  <c r="C12" i="7"/>
  <c r="C6" i="7"/>
  <c r="C7" i="3" l="1"/>
  <c r="C8" i="3"/>
  <c r="C17" i="4" l="1"/>
  <c r="C16" i="4"/>
  <c r="C5" i="4" l="1"/>
  <c r="C8" i="4" s="1"/>
  <c r="C9" i="4" s="1"/>
  <c r="C15" i="3" l="1"/>
  <c r="C10" i="3" l="1"/>
  <c r="J20" i="9"/>
  <c r="L12" i="9" s="1"/>
  <c r="N15" i="9"/>
  <c r="N16" i="9"/>
  <c r="N17" i="9"/>
  <c r="N19" i="9"/>
  <c r="N21" i="9"/>
  <c r="N23" i="9"/>
  <c r="N24" i="9"/>
  <c r="N25" i="9"/>
  <c r="F11" i="9"/>
  <c r="F12" i="9"/>
  <c r="F13" i="9"/>
  <c r="F14" i="9"/>
  <c r="D12" i="9"/>
  <c r="D13" i="9"/>
  <c r="D14" i="9"/>
  <c r="D11" i="9"/>
  <c r="F10" i="9"/>
  <c r="F7" i="9"/>
  <c r="F8" i="9"/>
  <c r="F9" i="9"/>
  <c r="D8" i="9"/>
  <c r="D7" i="9"/>
  <c r="F4" i="9"/>
  <c r="F5" i="9"/>
  <c r="F6" i="9"/>
  <c r="D5" i="9"/>
  <c r="D6" i="9"/>
  <c r="D4" i="9"/>
  <c r="F3" i="9"/>
  <c r="D3" i="9"/>
  <c r="F2" i="9"/>
  <c r="L22" i="9"/>
  <c r="N22" i="9" s="1"/>
  <c r="L13" i="9"/>
  <c r="J9" i="9"/>
  <c r="L9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H13" i="9" l="1"/>
  <c r="N13" i="9" s="1"/>
  <c r="P13" i="9" s="1"/>
  <c r="H14" i="9"/>
  <c r="N14" i="9" s="1"/>
  <c r="P14" i="9" s="1"/>
  <c r="H12" i="9"/>
  <c r="N12" i="9" s="1"/>
  <c r="T12" i="9" s="1"/>
  <c r="T26" i="9" s="1"/>
  <c r="H4" i="9"/>
  <c r="N4" i="9" s="1"/>
  <c r="P4" i="9" s="1"/>
  <c r="H8" i="9"/>
  <c r="L8" i="9" s="1"/>
  <c r="H5" i="9"/>
  <c r="N5" i="9" s="1"/>
  <c r="P5" i="9" s="1"/>
  <c r="H3" i="9"/>
  <c r="N3" i="9" s="1"/>
  <c r="R3" i="9" s="1"/>
  <c r="H7" i="9"/>
  <c r="N7" i="9" s="1"/>
  <c r="P7" i="9" s="1"/>
  <c r="H6" i="9"/>
  <c r="N6" i="9" s="1"/>
  <c r="P6" i="9" s="1"/>
  <c r="H11" i="9"/>
  <c r="N11" i="9" s="1"/>
  <c r="P11" i="9" s="1"/>
  <c r="N20" i="9"/>
  <c r="P20" i="9" s="1"/>
  <c r="P19" i="9"/>
  <c r="P16" i="9"/>
  <c r="P17" i="9"/>
  <c r="N8" i="9" l="1"/>
  <c r="P8" i="9" s="1"/>
  <c r="C24" i="7" l="1"/>
  <c r="D10" i="9" s="1"/>
  <c r="H10" i="9" s="1"/>
  <c r="N10" i="9" s="1"/>
  <c r="P10" i="9" s="1"/>
  <c r="C9" i="2"/>
  <c r="J18" i="9" s="1"/>
  <c r="N18" i="9" l="1"/>
  <c r="L2" i="9"/>
  <c r="L26" i="9" s="1"/>
  <c r="J26" i="9"/>
  <c r="P18" i="9"/>
  <c r="C8" i="2"/>
  <c r="D2" i="9"/>
  <c r="H2" i="9" s="1"/>
  <c r="N2" i="9" l="1"/>
  <c r="D20" i="6"/>
  <c r="F20" i="6"/>
  <c r="F14" i="6"/>
  <c r="D11" i="6"/>
  <c r="D14" i="6" s="1"/>
  <c r="D6" i="6"/>
  <c r="C15" i="2"/>
  <c r="C14" i="2"/>
  <c r="C13" i="2"/>
  <c r="C12" i="2"/>
  <c r="C11" i="2"/>
  <c r="C22" i="8"/>
  <c r="R2" i="9" l="1"/>
  <c r="R26" i="9" s="1"/>
  <c r="C7" i="2"/>
  <c r="E7" i="2"/>
  <c r="C6" i="2"/>
  <c r="C5" i="2"/>
  <c r="E5" i="2"/>
  <c r="C7" i="8"/>
  <c r="C31" i="7"/>
  <c r="C9" i="3" s="1"/>
  <c r="C25" i="7"/>
  <c r="C14" i="7"/>
  <c r="C8" i="7"/>
  <c r="C5" i="3" l="1"/>
  <c r="C6" i="3"/>
  <c r="C4" i="3"/>
  <c r="C10" i="8"/>
  <c r="C13" i="3" s="1"/>
  <c r="C12" i="3"/>
  <c r="E12" i="3" s="1"/>
  <c r="C32" i="7"/>
  <c r="C15" i="7"/>
  <c r="E14" i="7"/>
  <c r="E8" i="7"/>
  <c r="E31" i="7"/>
  <c r="E25" i="7"/>
  <c r="E21" i="7"/>
  <c r="E7" i="8"/>
  <c r="E10" i="8" s="1"/>
  <c r="C21" i="8" l="1"/>
  <c r="C13" i="8"/>
  <c r="C15" i="8" s="1"/>
  <c r="C23" i="8" s="1"/>
  <c r="C14" i="3"/>
  <c r="E32" i="7"/>
  <c r="E33" i="7" s="1"/>
  <c r="E15" i="7"/>
  <c r="E13" i="8"/>
  <c r="E15" i="8" s="1"/>
  <c r="E3" i="2" s="1"/>
  <c r="E10" i="2" s="1"/>
  <c r="E16" i="2" s="1"/>
  <c r="F5" i="6" s="1"/>
  <c r="F7" i="6" s="1"/>
  <c r="F15" i="6" s="1"/>
  <c r="F21" i="6" s="1"/>
  <c r="F23" i="6" s="1"/>
  <c r="D22" i="6" s="1"/>
  <c r="E21" i="8"/>
  <c r="C20" i="7" l="1"/>
  <c r="C3" i="2"/>
  <c r="C10" i="2" s="1"/>
  <c r="C16" i="2" s="1"/>
  <c r="D5" i="6" s="1"/>
  <c r="C16" i="3" s="1"/>
  <c r="E35" i="7"/>
  <c r="C21" i="7"/>
  <c r="D9" i="9"/>
  <c r="H9" i="9" s="1"/>
  <c r="D24" i="3"/>
  <c r="E14" i="3"/>
  <c r="E13" i="3"/>
  <c r="E9" i="3"/>
  <c r="E8" i="3"/>
  <c r="E6" i="3"/>
  <c r="E5" i="3"/>
  <c r="D7" i="6" l="1"/>
  <c r="D15" i="6" s="1"/>
  <c r="D21" i="6" s="1"/>
  <c r="D23" i="6" s="1"/>
  <c r="C33" i="7"/>
  <c r="C35" i="7" s="1"/>
  <c r="E15" i="3"/>
  <c r="D25" i="3"/>
  <c r="N9" i="9"/>
  <c r="H26" i="9"/>
  <c r="C11" i="3"/>
  <c r="D22" i="3"/>
  <c r="E7" i="3"/>
  <c r="D20" i="3"/>
  <c r="D21" i="3"/>
  <c r="E4" i="3"/>
  <c r="E16" i="3" l="1"/>
  <c r="D23" i="3"/>
  <c r="E11" i="3"/>
  <c r="P9" i="9"/>
  <c r="P26" i="9" s="1"/>
  <c r="R27" i="9" s="1"/>
  <c r="R28" i="9" s="1"/>
  <c r="N26" i="9"/>
  <c r="N27" i="9" s="1"/>
  <c r="D26" i="3"/>
</calcChain>
</file>

<file path=xl/sharedStrings.xml><?xml version="1.0" encoding="utf-8"?>
<sst xmlns="http://schemas.openxmlformats.org/spreadsheetml/2006/main" count="183" uniqueCount="157">
  <si>
    <t>تحلیل سرمایه در گردش و ارزیابی نیاز به وام</t>
  </si>
  <si>
    <t>فقط اعداد مبنا را در شیت «داده‌های ورودی» (سلول‌های زرد) وارد کنید؛ بقیه محاسبه و تحلیل خودکار انجام می‌شود.</t>
  </si>
  <si>
    <t>1</t>
  </si>
  <si>
    <t>۱. در شیت «داده‌های ورودی» همه سلول‌های زرد را با اعداد واقعی شرکت پر کنید (ارقام پولی؛ نرخ بهره به‌صورت اعشاری، مثلاً 0.23 برای ۲۳٪).</t>
  </si>
  <si>
    <t>2</t>
  </si>
  <si>
    <t>۲. شیت «محاسبات و تحلیل» به‌طور خودکار محاسبه می‌کند: سرمایه در گردش خالص، نسبت جاری، نسبت آنی، DIO / DSO / DPO، چرخه تبدیل وجه نقد (CCC)، حاشیه سود، ROI عملیات، هزینه مالی وام و نسبت پوشش (DSCR ساده).</t>
  </si>
  <si>
    <t>3</t>
  </si>
  <si>
    <t>۳. ستون «وضعیت» با فرمول‌های IF بازخورد فوری می‌دهد و به‌صورت خودکار رنگی می‌شود: سبز = مناسب، زرد = هشدار، قرمز = ضعف جدی.</t>
  </si>
  <si>
    <t>4</t>
  </si>
  <si>
    <t>۴. بلوک «جمع‌بندی نهایی» در انتهای همان شیت با ۶ سوال کلیدی، «وضعیت نیاز به وام» را مشخص می‌کند.</t>
  </si>
  <si>
    <t>5</t>
  </si>
  <si>
    <t>۵. معیارها: نسبت جاری مطلوب ۱٫۵ تا ۲ ؛ نسبت آنی بیش از ۱ ؛ CCC هرچه کوتاه‌تر بهتر (زیر ۶۰ روز خوب) ؛ ROI عملیات باید از نرخ بهره وام بیشتر باشد و جریان نقد عملیاتی باید هزینه مالی وام را بپوشاند.</t>
  </si>
  <si>
    <t>داده‌های ورودی — فقط سلول‌های زرد را پر کنید</t>
  </si>
  <si>
    <t>شرح</t>
  </si>
  <si>
    <t>مقدار</t>
  </si>
  <si>
    <t>توضیح / واحد</t>
  </si>
  <si>
    <t>مبلغ وام درخواستی</t>
  </si>
  <si>
    <t>نرخ بهره سالانه وام</t>
  </si>
  <si>
    <t>اعشاری — مثال: 23% = 0.23</t>
  </si>
  <si>
    <t>محاسبات خودکار و تحلیل شاخص‌ها</t>
  </si>
  <si>
    <t>نسبت جاری (Current Ratio)</t>
  </si>
  <si>
    <t>دارایی جاری ÷ بدهی جاری — مطلوب ۱٫۵ تا ۲</t>
  </si>
  <si>
    <t>نسبت آنی (Quick Ratio)</t>
  </si>
  <si>
    <t>(دارایی جاری − موجودی) ÷ بدهی جاری — مطلوب بیش از ۱</t>
  </si>
  <si>
    <t>DIO — دوره گردش موجودی (روز)</t>
  </si>
  <si>
    <t>موجودی ÷ COGS × ۳۶۵</t>
  </si>
  <si>
    <t>DSO — دوره وصول مطالبات (روز)</t>
  </si>
  <si>
    <t>مطالبات ÷ فروش × ۳۶۵</t>
  </si>
  <si>
    <t>DPO — دوره پرداخت بدهی (روز)</t>
  </si>
  <si>
    <t>بدهی جاری ÷ COGS × ۳۶۵</t>
  </si>
  <si>
    <t>DIO + DSO − DPO</t>
  </si>
  <si>
    <t>حاشیه سود عملیاتی</t>
  </si>
  <si>
    <t>سود عملیاتی ÷ فروش</t>
  </si>
  <si>
    <t>ROI عملیات (بازده دارایی جاری)</t>
  </si>
  <si>
    <t>سود عملیاتی ÷ دارایی جاری — باید از نرخ بهره بیشتر باشد</t>
  </si>
  <si>
    <t>هزینه مالی سالانه وام</t>
  </si>
  <si>
    <t>مبلغ وام × نرخ بهره</t>
  </si>
  <si>
    <t>نسبت پوشش هزینه مالی (DSCR ساده)</t>
  </si>
  <si>
    <t>جریان نقد عملیاتی ÷ هزینه مالی سالانه وام</t>
  </si>
  <si>
    <t>جمع‌بندی نهایی — وضعیت نیاز به وام</t>
  </si>
  <si>
    <t>ملاک / سوال کلیدی</t>
  </si>
  <si>
    <t>نتیجه</t>
  </si>
  <si>
    <t>آیا سرمایه در گردش منفی است؟</t>
  </si>
  <si>
    <t>آیا نسبت جاری زیر ۱ است؟</t>
  </si>
  <si>
    <t>آیا نسبت آنی زیر ۰٫۷ است؟</t>
  </si>
  <si>
    <t>آیا CCC بیش از ۹۰ روز است؟</t>
  </si>
  <si>
    <t>آیا بازده عملیات کمتر یا مساوی نرخ بهره وام است؟</t>
  </si>
  <si>
    <t>آیا نسبت پوشش هزینه مالی زیر ۱٫۲ است؟</t>
  </si>
  <si>
    <t>وضعیت نهایی نیاز به وام</t>
  </si>
  <si>
    <t>سود خالص</t>
  </si>
  <si>
    <t>1405/06/31</t>
  </si>
  <si>
    <t>1405/01/01</t>
  </si>
  <si>
    <t>تعدیلات</t>
  </si>
  <si>
    <t>نقد حاصل از عملیات</t>
  </si>
  <si>
    <t>هزینه مالیات</t>
  </si>
  <si>
    <t>هزینه مالی</t>
  </si>
  <si>
    <t>سود سپرده بانکی</t>
  </si>
  <si>
    <t>خالص افزایش در ذخیره مزایای پایان خدمات کارکنان</t>
  </si>
  <si>
    <t>استهلاک دارایی های غیر جاری</t>
  </si>
  <si>
    <t xml:space="preserve">کاهش (افزایش) دریافتنی های عملیاتی </t>
  </si>
  <si>
    <t xml:space="preserve"> (افزایش) موجودی مواد و کالا </t>
  </si>
  <si>
    <t xml:space="preserve">کاهش (افزایش) پیش پرداخت های عملیاتی </t>
  </si>
  <si>
    <t xml:space="preserve">افزایش (کاهش) پرداختنی های عملیاتی </t>
  </si>
  <si>
    <t xml:space="preserve">افزایش پیش دریافت های عملیاتی </t>
  </si>
  <si>
    <t xml:space="preserve">جریان های نقدی حاصل از (مصرف شده در) فعاليتهاي عملياتي: </t>
  </si>
  <si>
    <t>پرداخت های نقدی بابت مالیات بر درآمد</t>
  </si>
  <si>
    <t>جریان خالص ورود نقد حاصل از فعالیت های عملیاتی</t>
  </si>
  <si>
    <t>جریان های نقدی مصرف شده در فعالیت های سرمایه گذاری :</t>
  </si>
  <si>
    <t>دریافت های های نقدی برای فروش دارایی های ثابت مشهود</t>
  </si>
  <si>
    <t>پرداخت های نقدی برای خرید دارایی های ثابت مشهود</t>
  </si>
  <si>
    <t>پرداخت های نقدی برای خرید دارایی های نامشهود</t>
  </si>
  <si>
    <t>پرداخت های نقدی برای خرید سایر دارایی ها</t>
  </si>
  <si>
    <t>دریافت های ناشی از سود سایر سرمایه گذاری ها</t>
  </si>
  <si>
    <t>جریان خالص خروج  نقد حاصل از فعالیت های سرمایه گذاری</t>
  </si>
  <si>
    <t>جریان خالص ورود نقد قبل از فعالیت های تامین مالی</t>
  </si>
  <si>
    <t xml:space="preserve">جریان های نقدی حاصل از (مصرف شده در) فعاليتهاي تامین مالی : </t>
  </si>
  <si>
    <t>دریافت های ناشی از تسهیلات</t>
  </si>
  <si>
    <t>پرداختهای نقدی بابت اصل تسهیلات</t>
  </si>
  <si>
    <t>پرداختهای نقدی بابت سود تسهیلات</t>
  </si>
  <si>
    <t>جریان خالص ورود نقد حاصل از  (مصرف شده در) فعالیت های تامین مالی</t>
  </si>
  <si>
    <t>خالص افزایش در موجودی نقد</t>
  </si>
  <si>
    <t>مانده موجودی نقد در ابتدای سال</t>
  </si>
  <si>
    <t>مانده موجودی نقد در پایان سال</t>
  </si>
  <si>
    <t>درآمدهاي عملياتي</t>
  </si>
  <si>
    <t>بهاي تمام شده درآمدهاي عملياتي</t>
  </si>
  <si>
    <t xml:space="preserve">سود ناخالص </t>
  </si>
  <si>
    <t xml:space="preserve">هزينه هاي فروش، اداري و عمومي </t>
  </si>
  <si>
    <t>ساير درآمدها</t>
  </si>
  <si>
    <t xml:space="preserve">سود عملياتي </t>
  </si>
  <si>
    <t xml:space="preserve">هزينه هاي مالي </t>
  </si>
  <si>
    <t xml:space="preserve">ساير درآمدها و هزينه هاي غيرعملياتي </t>
  </si>
  <si>
    <t>سود  عملیات قبل از مالیات</t>
  </si>
  <si>
    <t xml:space="preserve"> هزينه مالیات بر درآمد</t>
  </si>
  <si>
    <t>سود هر سهم</t>
  </si>
  <si>
    <t>سود پایه هر سهم</t>
  </si>
  <si>
    <t>عملیاتی (ریال)</t>
  </si>
  <si>
    <t>غیر عملیاتی (ریال)</t>
  </si>
  <si>
    <t>دارايي ها</t>
  </si>
  <si>
    <t xml:space="preserve">دارائيهاي غير جاري </t>
  </si>
  <si>
    <t xml:space="preserve">دارایی هاي ثابت مشهود </t>
  </si>
  <si>
    <t>دارایی هاي نامشهود</t>
  </si>
  <si>
    <t>جمع دارایی هاي غير جاري</t>
  </si>
  <si>
    <t xml:space="preserve">دارایی هاي جاري </t>
  </si>
  <si>
    <t xml:space="preserve">پيش پرداخت ها </t>
  </si>
  <si>
    <t xml:space="preserve">موجودي مواد و كالا </t>
  </si>
  <si>
    <t>دریافتنی هاي تجاری و ساير دريافتني ها</t>
  </si>
  <si>
    <t>موجودی نقد</t>
  </si>
  <si>
    <t>جمع دارایی هاي  جاري</t>
  </si>
  <si>
    <t xml:space="preserve">    جمع دارایی ها</t>
  </si>
  <si>
    <t>حقوق مالکانه و بدهی ها</t>
  </si>
  <si>
    <t xml:space="preserve">   حقوق مالکانه</t>
  </si>
  <si>
    <t xml:space="preserve">سرمايه </t>
  </si>
  <si>
    <t xml:space="preserve">اندوخته قانوني </t>
  </si>
  <si>
    <t xml:space="preserve">سود انباشته </t>
  </si>
  <si>
    <t>جمع حقوق مالکانه</t>
  </si>
  <si>
    <t>بدهی ها</t>
  </si>
  <si>
    <t xml:space="preserve">    بدهی های غیر جاری</t>
  </si>
  <si>
    <t>ذخیره مزایای پایان خدمت کارکنان</t>
  </si>
  <si>
    <t>جمع بدهی های غیر جاری</t>
  </si>
  <si>
    <t>بدهی های جاری</t>
  </si>
  <si>
    <t>پرداختنی های تجاری و سایر پرداختنی ها</t>
  </si>
  <si>
    <t xml:space="preserve">تسهیلات مالی </t>
  </si>
  <si>
    <t>مالیات پرداختنی</t>
  </si>
  <si>
    <t>بدهی ناشی از قراردادها</t>
  </si>
  <si>
    <t xml:space="preserve">    جمع بدهی های جاری</t>
  </si>
  <si>
    <t xml:space="preserve">  جمع بدهی ها</t>
  </si>
  <si>
    <t>جمع حقوق مالکانه و بدهی ها</t>
  </si>
  <si>
    <t>تعداد سهام شرکت</t>
  </si>
  <si>
    <t>اختلاف</t>
  </si>
  <si>
    <t>افزایش</t>
  </si>
  <si>
    <t>کاهش</t>
  </si>
  <si>
    <t>خالص اختلاف</t>
  </si>
  <si>
    <t>عملیاتی</t>
  </si>
  <si>
    <t>سرمایه گذاری</t>
  </si>
  <si>
    <t>تامین مالی</t>
  </si>
  <si>
    <t>سود سهام مصوب</t>
  </si>
  <si>
    <t>هزینه استهلاک</t>
  </si>
  <si>
    <t>هزینه غیر عملیاتی</t>
  </si>
  <si>
    <t>ماهانه</t>
  </si>
  <si>
    <t xml:space="preserve">ریال </t>
  </si>
  <si>
    <t>شرکت یاران هم افزای کویر (سهامی خاص)
صورت وضعیت مالی
به تاریخ 1405/06/31</t>
  </si>
  <si>
    <t>شرکت یاران هم افزای کویر (سهامی خاص)
صورت سود و زیان
دوره منتهی به 1405/06/31</t>
  </si>
  <si>
    <t>شرکت یاران هم افزای کویر (سهامی خاص)
صورت جریان های نقدی
دوره منتهی به 1405/06/31</t>
  </si>
  <si>
    <t>حاشیه سود ناخاص</t>
  </si>
  <si>
    <t>سود ناخاص ÷ فروش</t>
  </si>
  <si>
    <t>کسری عملیاتی برآوردی</t>
  </si>
  <si>
    <t xml:space="preserve">بدهی فعلی- اصل +بهره سالانه </t>
  </si>
  <si>
    <t>NWC-سرمایه در گردش خالص</t>
  </si>
  <si>
    <t xml:space="preserve">دارایی جاری − بدهی جاری </t>
  </si>
  <si>
    <t>دوره بازگشت سرمایه</t>
  </si>
  <si>
    <t>فروش مد نظر بعد از اخذ وام</t>
  </si>
  <si>
    <t>سود ناخاص - بعد وام</t>
  </si>
  <si>
    <t>مدت بازپرداخت وام (ماه)</t>
  </si>
  <si>
    <t xml:space="preserve">چرخه تبدیل وجه نقد CCC (روز)- شکاف سرمایه در گردش </t>
  </si>
  <si>
    <t xml:space="preserve">مبلغ وام مورد نیاز </t>
  </si>
  <si>
    <t>حداقل موجودی نقدی هدف- شکاف نقدینگی</t>
  </si>
  <si>
    <t>قسط ماهانه وام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</si>
</sst>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_(\ #,##0_);[Red]_(\(#,##0\);_(\ &quot;-&quot;_);_(@_)"/>
  </numFmts>
  <fonts count="23">
    <font>
      <sz val="11"/>
      <color theme="1"/>
      <name val="Calibri"/>
      <family val="2"/>
      <scheme val="minor"/>
    </font>
    <font>
      <b/>
      <sz val="14"/>
      <color rgb="FFFFFFFF"/>
      <name val="Tahoma"/>
    </font>
    <font>
      <sz val="11"/>
      <color rgb="FF1F3864"/>
      <name val="Tahoma"/>
    </font>
    <font>
      <b/>
      <sz val="11"/>
      <color rgb="FFFFFFFF"/>
      <name val="Tahoma"/>
    </font>
    <font>
      <b/>
      <sz val="11"/>
      <color rgb="FF000000"/>
      <name val="Tahoma"/>
    </font>
    <font>
      <sz val="11"/>
      <color rgb="FF000000"/>
      <name val="Tahoma"/>
    </font>
    <font>
      <sz val="9"/>
      <color rgb="FF808080"/>
      <name val="Tahoma"/>
    </font>
    <font>
      <sz val="11"/>
      <color theme="1"/>
      <name val="Calibri"/>
      <family val="2"/>
      <scheme val="minor"/>
    </font>
    <font>
      <b/>
      <sz val="13"/>
      <color rgb="FFFFFFFF"/>
      <name val="2  Nazanin"/>
      <charset val="178"/>
    </font>
    <font>
      <sz val="11"/>
      <color theme="1"/>
      <name val="2  Nazanin"/>
      <charset val="178"/>
    </font>
    <font>
      <b/>
      <sz val="11"/>
      <color rgb="FF000000"/>
      <name val="2  Nazanin"/>
      <charset val="178"/>
    </font>
    <font>
      <sz val="9"/>
      <color rgb="FF808080"/>
      <name val="2  Nazanin"/>
      <charset val="178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2  Nazanin"/>
      <charset val="178"/>
    </font>
    <font>
      <b/>
      <sz val="12"/>
      <color theme="1"/>
      <name val="2  Nazanin"/>
      <charset val="178"/>
    </font>
    <font>
      <sz val="11"/>
      <name val="B Nazanin"/>
      <charset val="178"/>
    </font>
    <font>
      <b/>
      <sz val="11"/>
      <name val="B Nazanin"/>
      <charset val="178"/>
    </font>
    <font>
      <sz val="8"/>
      <color theme="1"/>
      <name val="BNazanin"/>
    </font>
    <font>
      <sz val="10"/>
      <name val="B Nazanin"/>
      <charset val="178"/>
    </font>
    <font>
      <b/>
      <sz val="13"/>
      <color theme="1"/>
      <name val="Tahoma"/>
    </font>
    <font>
      <b/>
      <sz val="11"/>
      <color theme="1"/>
      <name val="Tahoma"/>
    </font>
    <font>
      <b/>
      <sz val="12"/>
      <color theme="1"/>
      <name val="Tahoma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5B9A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7" fillId="0" borderId="0" applyFont="0" applyFill="0" applyBorder="0" applyAlignment="0" applyProtection="0"/>
    <xf numFmtId="0" fontId="7" fillId="0" borderId="0"/>
  </cellStyleXfs>
  <cellXfs count="96">
    <xf numFmtId="0" fontId="0" fillId="0" borderId="0" xfId="0"/>
    <xf numFmtId="0" fontId="3" fillId="4" borderId="1" xfId="0" applyFont="1" applyFill="1" applyBorder="1" applyAlignment="1">
      <alignment horizontal="right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readingOrder="2"/>
    </xf>
    <xf numFmtId="3" fontId="4" fillId="0" borderId="1" xfId="0" applyNumberFormat="1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right" vertical="center" readingOrder="2"/>
    </xf>
    <xf numFmtId="2" fontId="4" fillId="0" borderId="1" xfId="0" applyNumberFormat="1" applyFont="1" applyBorder="1" applyAlignment="1">
      <alignment horizontal="center" vertical="center" readingOrder="2"/>
    </xf>
    <xf numFmtId="164" fontId="4" fillId="0" borderId="1" xfId="0" applyNumberFormat="1" applyFont="1" applyBorder="1" applyAlignment="1">
      <alignment horizontal="center" vertical="center" readingOrder="2"/>
    </xf>
    <xf numFmtId="0" fontId="9" fillId="0" borderId="0" xfId="0" applyFont="1"/>
    <xf numFmtId="41" fontId="9" fillId="0" borderId="0" xfId="1" applyFont="1"/>
    <xf numFmtId="41" fontId="9" fillId="0" borderId="0" xfId="1" applyFont="1" applyBorder="1"/>
    <xf numFmtId="0" fontId="9" fillId="0" borderId="0" xfId="0" applyFont="1" applyAlignment="1">
      <alignment horizontal="center" vertical="center"/>
    </xf>
    <xf numFmtId="0" fontId="12" fillId="0" borderId="0" xfId="2" applyFont="1" applyAlignment="1">
      <alignment vertical="center"/>
    </xf>
    <xf numFmtId="165" fontId="12" fillId="0" borderId="0" xfId="2" applyNumberFormat="1" applyFont="1" applyAlignment="1">
      <alignment horizontal="right" vertical="center" readingOrder="1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right" vertical="center"/>
    </xf>
    <xf numFmtId="38" fontId="9" fillId="0" borderId="0" xfId="0" applyNumberFormat="1" applyFont="1" applyAlignment="1">
      <alignment horizontal="center" vertical="center"/>
    </xf>
    <xf numFmtId="38" fontId="9" fillId="0" borderId="3" xfId="0" applyNumberFormat="1" applyFont="1" applyBorder="1" applyAlignment="1">
      <alignment horizontal="center" vertical="center"/>
    </xf>
    <xf numFmtId="0" fontId="14" fillId="0" borderId="0" xfId="0" applyFont="1"/>
    <xf numFmtId="38" fontId="9" fillId="0" borderId="4" xfId="0" applyNumberFormat="1" applyFont="1" applyBorder="1" applyAlignment="1">
      <alignment horizontal="center" vertical="center"/>
    </xf>
    <xf numFmtId="38" fontId="9" fillId="0" borderId="5" xfId="0" applyNumberFormat="1" applyFont="1" applyBorder="1" applyAlignment="1">
      <alignment horizontal="center" vertical="center"/>
    </xf>
    <xf numFmtId="0" fontId="15" fillId="0" borderId="0" xfId="0" applyFont="1"/>
    <xf numFmtId="0" fontId="15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1" fontId="15" fillId="0" borderId="0" xfId="1" applyFont="1" applyBorder="1"/>
    <xf numFmtId="165" fontId="16" fillId="0" borderId="0" xfId="0" applyNumberFormat="1" applyFont="1" applyAlignment="1">
      <alignment horizontal="right" vertical="center" wrapText="1" readingOrder="2"/>
    </xf>
    <xf numFmtId="165" fontId="16" fillId="0" borderId="0" xfId="0" applyNumberFormat="1" applyFont="1" applyAlignment="1">
      <alignment horizontal="right" wrapText="1" readingOrder="2"/>
    </xf>
    <xf numFmtId="165" fontId="16" fillId="0" borderId="0" xfId="0" applyNumberFormat="1" applyFont="1" applyAlignment="1">
      <alignment horizontal="center" readingOrder="2"/>
    </xf>
    <xf numFmtId="0" fontId="17" fillId="0" borderId="0" xfId="0" applyFont="1" applyAlignment="1">
      <alignment horizontal="right" vertical="center" readingOrder="2"/>
    </xf>
    <xf numFmtId="165" fontId="16" fillId="0" borderId="0" xfId="0" applyNumberFormat="1" applyFont="1" applyAlignment="1">
      <alignment horizontal="right" indent="2" readingOrder="2"/>
    </xf>
    <xf numFmtId="38" fontId="9" fillId="0" borderId="7" xfId="0" applyNumberFormat="1" applyFont="1" applyBorder="1" applyAlignment="1">
      <alignment horizontal="center" vertical="center"/>
    </xf>
    <xf numFmtId="38" fontId="15" fillId="0" borderId="3" xfId="0" applyNumberFormat="1" applyFont="1" applyBorder="1" applyAlignment="1">
      <alignment horizontal="center" vertical="center"/>
    </xf>
    <xf numFmtId="38" fontId="15" fillId="0" borderId="0" xfId="0" applyNumberFormat="1" applyFont="1" applyAlignment="1">
      <alignment horizontal="center" vertical="center"/>
    </xf>
    <xf numFmtId="38" fontId="9" fillId="0" borderId="6" xfId="0" applyNumberFormat="1" applyFont="1" applyBorder="1" applyAlignment="1">
      <alignment horizontal="center" vertical="center"/>
    </xf>
    <xf numFmtId="165" fontId="12" fillId="0" borderId="0" xfId="2" applyNumberFormat="1" applyFont="1" applyAlignment="1">
      <alignment vertical="center" readingOrder="1"/>
    </xf>
    <xf numFmtId="0" fontId="18" fillId="0" borderId="0" xfId="0" applyFont="1"/>
    <xf numFmtId="41" fontId="18" fillId="0" borderId="0" xfId="1" applyFont="1"/>
    <xf numFmtId="41" fontId="9" fillId="0" borderId="0" xfId="0" applyNumberFormat="1" applyFont="1"/>
    <xf numFmtId="38" fontId="9" fillId="0" borderId="0" xfId="0" applyNumberFormat="1" applyFont="1"/>
    <xf numFmtId="0" fontId="16" fillId="0" borderId="0" xfId="0" applyFont="1" applyAlignment="1">
      <alignment readingOrder="2"/>
    </xf>
    <xf numFmtId="0" fontId="19" fillId="0" borderId="8" xfId="0" applyFont="1" applyBorder="1" applyAlignment="1">
      <alignment horizontal="right" indent="2" readingOrder="2"/>
    </xf>
    <xf numFmtId="0" fontId="16" fillId="0" borderId="8" xfId="0" applyFont="1" applyBorder="1" applyAlignment="1">
      <alignment readingOrder="2"/>
    </xf>
    <xf numFmtId="38" fontId="9" fillId="0" borderId="8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readingOrder="2"/>
    </xf>
    <xf numFmtId="0" fontId="19" fillId="0" borderId="8" xfId="0" applyFont="1" applyBorder="1" applyAlignment="1">
      <alignment horizontal="right" vertical="center" wrapText="1" indent="2" readingOrder="2"/>
    </xf>
    <xf numFmtId="0" fontId="16" fillId="5" borderId="9" xfId="0" applyFont="1" applyFill="1" applyBorder="1" applyAlignment="1">
      <alignment readingOrder="2"/>
    </xf>
    <xf numFmtId="0" fontId="19" fillId="5" borderId="8" xfId="0" applyFont="1" applyFill="1" applyBorder="1" applyAlignment="1">
      <alignment horizontal="right" vertical="center" wrapText="1" indent="2" readingOrder="2"/>
    </xf>
    <xf numFmtId="0" fontId="16" fillId="5" borderId="8" xfId="0" applyFont="1" applyFill="1" applyBorder="1" applyAlignment="1">
      <alignment readingOrder="2"/>
    </xf>
    <xf numFmtId="38" fontId="9" fillId="5" borderId="8" xfId="0" applyNumberFormat="1" applyFont="1" applyFill="1" applyBorder="1" applyAlignment="1">
      <alignment horizontal="center" vertical="center"/>
    </xf>
    <xf numFmtId="38" fontId="16" fillId="0" borderId="8" xfId="0" applyNumberFormat="1" applyFont="1" applyBorder="1" applyAlignment="1">
      <alignment readingOrder="2"/>
    </xf>
    <xf numFmtId="38" fontId="19" fillId="0" borderId="8" xfId="0" applyNumberFormat="1" applyFont="1" applyBorder="1" applyAlignment="1">
      <alignment horizontal="right" indent="2" readingOrder="2"/>
    </xf>
    <xf numFmtId="38" fontId="16" fillId="0" borderId="8" xfId="0" applyNumberFormat="1" applyFont="1" applyBorder="1" applyAlignment="1">
      <alignment horizontal="center" vertical="center" readingOrder="2"/>
    </xf>
    <xf numFmtId="0" fontId="19" fillId="0" borderId="0" xfId="0" applyFont="1" applyAlignment="1">
      <alignment horizontal="right" indent="2" readingOrder="2"/>
    </xf>
    <xf numFmtId="38" fontId="16" fillId="0" borderId="0" xfId="0" applyNumberFormat="1" applyFont="1" applyAlignment="1">
      <alignment readingOrder="2"/>
    </xf>
    <xf numFmtId="38" fontId="16" fillId="5" borderId="8" xfId="0" applyNumberFormat="1" applyFont="1" applyFill="1" applyBorder="1" applyAlignment="1">
      <alignment horizontal="center" vertical="center" readingOrder="2"/>
    </xf>
    <xf numFmtId="38" fontId="16" fillId="5" borderId="8" xfId="0" applyNumberFormat="1" applyFont="1" applyFill="1" applyBorder="1" applyAlignment="1">
      <alignment readingOrder="2"/>
    </xf>
    <xf numFmtId="38" fontId="16" fillId="0" borderId="8" xfId="0" applyNumberFormat="1" applyFont="1" applyBorder="1" applyAlignment="1">
      <alignment horizontal="center" vertical="center" wrapText="1" readingOrder="2"/>
    </xf>
    <xf numFmtId="38" fontId="19" fillId="0" borderId="8" xfId="0" applyNumberFormat="1" applyFont="1" applyBorder="1" applyAlignment="1">
      <alignment horizontal="right" vertical="center" wrapText="1" readingOrder="2"/>
    </xf>
    <xf numFmtId="38" fontId="16" fillId="0" borderId="0" xfId="0" applyNumberFormat="1" applyFont="1" applyAlignment="1">
      <alignment horizontal="center" vertical="center" readingOrder="2"/>
    </xf>
    <xf numFmtId="38" fontId="0" fillId="0" borderId="0" xfId="0" applyNumberFormat="1"/>
    <xf numFmtId="41" fontId="14" fillId="0" borderId="0" xfId="1" applyFont="1"/>
    <xf numFmtId="0" fontId="10" fillId="0" borderId="0" xfId="0" applyFont="1" applyAlignment="1">
      <alignment horizontal="right" vertical="center" readingOrder="2"/>
    </xf>
    <xf numFmtId="41" fontId="9" fillId="0" borderId="0" xfId="1" applyFont="1" applyFill="1" applyBorder="1"/>
    <xf numFmtId="0" fontId="10" fillId="0" borderId="1" xfId="0" applyFont="1" applyBorder="1" applyAlignment="1">
      <alignment horizontal="right" vertical="center" readingOrder="2"/>
    </xf>
    <xf numFmtId="38" fontId="10" fillId="0" borderId="1" xfId="0" applyNumberFormat="1" applyFont="1" applyBorder="1" applyAlignment="1">
      <alignment horizontal="center" vertical="center" readingOrder="2"/>
    </xf>
    <xf numFmtId="0" fontId="11" fillId="0" borderId="1" xfId="0" applyFont="1" applyBorder="1" applyAlignment="1">
      <alignment horizontal="right" vertical="center" readingOrder="2"/>
    </xf>
    <xf numFmtId="41" fontId="9" fillId="0" borderId="0" xfId="1" applyFont="1" applyFill="1"/>
    <xf numFmtId="9" fontId="10" fillId="0" borderId="1" xfId="0" applyNumberFormat="1" applyFont="1" applyBorder="1" applyAlignment="1">
      <alignment horizontal="center" vertical="center" readingOrder="2"/>
    </xf>
    <xf numFmtId="0" fontId="14" fillId="6" borderId="1" xfId="0" applyFont="1" applyFill="1" applyBorder="1" applyAlignment="1">
      <alignment horizontal="right" vertical="center" readingOrder="2"/>
    </xf>
    <xf numFmtId="38" fontId="14" fillId="6" borderId="1" xfId="0" applyNumberFormat="1" applyFont="1" applyFill="1" applyBorder="1" applyAlignment="1">
      <alignment horizontal="center" vertical="center" readingOrder="2"/>
    </xf>
    <xf numFmtId="0" fontId="10" fillId="6" borderId="0" xfId="0" applyFont="1" applyFill="1" applyAlignment="1">
      <alignment horizontal="right" vertical="center" readingOrder="2"/>
    </xf>
    <xf numFmtId="0" fontId="21" fillId="7" borderId="1" xfId="0" applyFont="1" applyFill="1" applyBorder="1" applyAlignment="1">
      <alignment horizontal="right" vertical="center" readingOrder="2"/>
    </xf>
    <xf numFmtId="0" fontId="21" fillId="7" borderId="1" xfId="0" applyFont="1" applyFill="1" applyBorder="1" applyAlignment="1">
      <alignment horizontal="center" vertical="center" readingOrder="2"/>
    </xf>
    <xf numFmtId="0" fontId="9" fillId="0" borderId="0" xfId="0" applyFont="1"/>
    <xf numFmtId="0" fontId="2" fillId="3" borderId="1" xfId="0" applyFont="1" applyFill="1" applyBorder="1" applyAlignment="1">
      <alignment horizontal="center" vertical="center" readingOrder="2"/>
    </xf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8" fillId="2" borderId="1" xfId="0" applyFont="1" applyFill="1" applyBorder="1" applyAlignment="1">
      <alignment horizontal="center" vertical="center" readingOrder="2"/>
    </xf>
    <xf numFmtId="0" fontId="9" fillId="0" borderId="0" xfId="0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19" fillId="0" borderId="9" xfId="0" applyFont="1" applyBorder="1" applyAlignment="1">
      <alignment horizontal="center" vertical="center" wrapText="1" readingOrder="2"/>
    </xf>
    <xf numFmtId="0" fontId="19" fillId="0" borderId="4" xfId="0" applyFont="1" applyBorder="1" applyAlignment="1">
      <alignment horizontal="center" vertical="center" wrapText="1" readingOrder="2"/>
    </xf>
    <xf numFmtId="0" fontId="19" fillId="0" borderId="10" xfId="0" applyFont="1" applyBorder="1" applyAlignment="1">
      <alignment horizontal="center" vertical="center" wrapText="1" readingOrder="2"/>
    </xf>
    <xf numFmtId="0" fontId="20" fillId="6" borderId="1" xfId="0" applyFont="1" applyFill="1" applyBorder="1" applyAlignment="1">
      <alignment horizontal="center" vertical="center" readingOrder="2"/>
    </xf>
    <xf numFmtId="0" fontId="0" fillId="6" borderId="0" xfId="0" applyFill="1"/>
    <xf numFmtId="0" fontId="21" fillId="8" borderId="1" xfId="0" applyFont="1" applyFill="1" applyBorder="1" applyAlignment="1">
      <alignment horizontal="right" vertical="center" readingOrder="2"/>
    </xf>
    <xf numFmtId="0" fontId="0" fillId="8" borderId="2" xfId="0" applyFill="1" applyBorder="1"/>
    <xf numFmtId="0" fontId="5" fillId="0" borderId="1" xfId="0" applyFont="1" applyBorder="1" applyAlignment="1">
      <alignment horizontal="right" vertical="center" readingOrder="2"/>
    </xf>
    <xf numFmtId="0" fontId="0" fillId="0" borderId="2" xfId="0" applyBorder="1"/>
    <xf numFmtId="0" fontId="4" fillId="0" borderId="1" xfId="0" applyFont="1" applyBorder="1" applyAlignment="1">
      <alignment horizontal="center" vertical="center" readingOrder="2"/>
    </xf>
    <xf numFmtId="0" fontId="22" fillId="6" borderId="1" xfId="0" applyFont="1" applyFill="1" applyBorder="1" applyAlignment="1">
      <alignment horizontal="center" vertical="center" readingOrder="2"/>
    </xf>
    <xf numFmtId="0" fontId="3" fillId="6" borderId="1" xfId="0" applyFont="1" applyFill="1" applyBorder="1" applyAlignment="1">
      <alignment horizontal="right" vertical="center" readingOrder="2"/>
    </xf>
  </cellXfs>
  <cellStyles count="3">
    <cellStyle name="Comma [0]" xfId="1" builtinId="6"/>
    <cellStyle name="Normal" xfId="0" builtinId="0"/>
    <cellStyle name="Normal 2" xfId="2"/>
  </cellStyles>
  <dxfs count="10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5;&#1583;&#1740;&#1585;&#1740;&#1578;/&#1605;&#1606;&#1575;%20&#1589;&#1601;&#1575;&#1580;&#1608;/&#1589;&#1608;&#1585;&#1578;%20&#1605;&#1575;&#1604;&#1740;%201404/&#1740;&#1575;&#1585;&#1575;&#1606;%20&#1607;&#1605;%20&#1575;&#1601;&#1586;&#1575;&#1740;%20&#1705;&#1608;&#1740;&#1585;/&#1589;&#1608;&#1585;&#1578;%20&#1605;&#1575;&#1604;&#1740;%20&#1740;&#1575;&#1585;&#1575;&#1606;%20&#1607;&#1605;%20&#1575;&#1601;&#1586;&#1575;&#1740;%20&#1705;&#1608;&#1740;&#1585;1%20-14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"/>
      <sheetName val="سر برگ صفحات"/>
      <sheetName val="ص امضا"/>
      <sheetName val="سودوزيان"/>
      <sheetName val="وضعيت مالي"/>
      <sheetName val="حقوق مالكانه"/>
      <sheetName val="جريان هاي نقدي"/>
      <sheetName val="تاريخچه"/>
      <sheetName val="اهم رویه"/>
      <sheetName val="اهم رويه1"/>
      <sheetName val="اهم رويه2"/>
      <sheetName val="اهم رويه 3"/>
      <sheetName val="4.4-1.4-2"/>
      <sheetName val="5-1"/>
      <sheetName val="4-3.5"/>
      <sheetName val="5-1.5-2.5-3"/>
      <sheetName val="5-4.6"/>
      <sheetName val="7.8.9"/>
      <sheetName val="7.8.9-"/>
      <sheetName val="10"/>
      <sheetName val="11.12.13"/>
      <sheetName val="14"/>
      <sheetName val="13.14.15.16 (2)"/>
      <sheetName val="15.16.17"/>
      <sheetName val="18.18-1."/>
      <sheetName val="19-2-.19-2-1"/>
      <sheetName val="ادامه 19"/>
      <sheetName val="20"/>
      <sheetName val="21.22.23"/>
      <sheetName val="24"/>
      <sheetName val="ادامه 24"/>
      <sheetName val="25"/>
      <sheetName val="ادامه 25"/>
      <sheetName val="ادامه 25 (2)"/>
      <sheetName val="27.28.29"/>
    </sheetNames>
    <sheetDataSet>
      <sheetData sheetId="0"/>
      <sheetData sheetId="1"/>
      <sheetData sheetId="2"/>
      <sheetData sheetId="3"/>
      <sheetData sheetId="4">
        <row r="9">
          <cell r="B9" t="str">
            <v xml:space="preserve">دارایی هاي ثابت مشهود </v>
          </cell>
        </row>
        <row r="10">
          <cell r="B10" t="str">
            <v>دارایی هاي نامشهود</v>
          </cell>
        </row>
        <row r="13">
          <cell r="B13" t="str">
            <v xml:space="preserve">پيش پرداخت ها </v>
          </cell>
        </row>
        <row r="14">
          <cell r="B14" t="str">
            <v xml:space="preserve">موجودي مواد و كالا </v>
          </cell>
        </row>
        <row r="15">
          <cell r="B15" t="str">
            <v>دریافتنی هاي تجاری و ساير دريافتني ها</v>
          </cell>
        </row>
        <row r="21">
          <cell r="B21" t="str">
            <v xml:space="preserve">سرمايه </v>
          </cell>
        </row>
        <row r="22">
          <cell r="B22" t="str">
            <v xml:space="preserve">اندوخته قانوني </v>
          </cell>
        </row>
        <row r="23">
          <cell r="B23" t="str">
            <v xml:space="preserve">سود انباشته </v>
          </cell>
        </row>
        <row r="27">
          <cell r="B27" t="str">
            <v>ذخیره مزایای پایان خدمت کارکنان</v>
          </cell>
        </row>
        <row r="30">
          <cell r="B30" t="str">
            <v>پرداختنی های تجاری و سایر پرداختنی ها</v>
          </cell>
        </row>
        <row r="31">
          <cell r="B31" t="str">
            <v xml:space="preserve">تسهیلات مالی </v>
          </cell>
        </row>
        <row r="32">
          <cell r="B32" t="str">
            <v>مالیات پرداختنی</v>
          </cell>
        </row>
        <row r="33">
          <cell r="B33" t="str">
            <v>بدهی ناشی از قراردادها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rightToLeft="1" workbookViewId="0">
      <selection activeCell="C9" sqref="C9"/>
    </sheetView>
  </sheetViews>
  <sheetFormatPr defaultRowHeight="15"/>
  <cols>
    <col min="1" max="1" width="3" customWidth="1"/>
    <col min="2" max="2" width="12" customWidth="1"/>
    <col min="3" max="3" width="95" customWidth="1"/>
  </cols>
  <sheetData>
    <row r="2" spans="2:3" ht="30" customHeight="1">
      <c r="B2" s="77" t="s">
        <v>0</v>
      </c>
      <c r="C2" s="76"/>
    </row>
    <row r="3" spans="2:3">
      <c r="B3" s="75" t="s">
        <v>1</v>
      </c>
      <c r="C3" s="76"/>
    </row>
    <row r="5" spans="2:3">
      <c r="B5" s="1"/>
      <c r="C5" s="1"/>
    </row>
    <row r="6" spans="2:3" ht="48.75" customHeight="1">
      <c r="B6" s="2" t="s">
        <v>2</v>
      </c>
      <c r="C6" s="3" t="s">
        <v>3</v>
      </c>
    </row>
    <row r="7" spans="2:3" ht="48.75" customHeight="1">
      <c r="B7" s="2" t="s">
        <v>4</v>
      </c>
      <c r="C7" s="3" t="s">
        <v>5</v>
      </c>
    </row>
    <row r="8" spans="2:3" ht="48.75" customHeight="1">
      <c r="B8" s="2" t="s">
        <v>6</v>
      </c>
      <c r="C8" s="3" t="s">
        <v>7</v>
      </c>
    </row>
    <row r="9" spans="2:3" ht="48.75" customHeight="1">
      <c r="B9" s="2" t="s">
        <v>8</v>
      </c>
      <c r="C9" s="3" t="s">
        <v>9</v>
      </c>
    </row>
    <row r="10" spans="2:3" ht="48.75" customHeight="1">
      <c r="B10" s="2" t="s">
        <v>10</v>
      </c>
      <c r="C10" s="3" t="s">
        <v>11</v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rightToLeft="1" workbookViewId="0">
      <pane ySplit="4" topLeftCell="A5" activePane="bottomLeft" state="frozen"/>
      <selection pane="bottomLeft" activeCell="C10" sqref="C10"/>
    </sheetView>
  </sheetViews>
  <sheetFormatPr defaultRowHeight="18"/>
  <cols>
    <col min="1" max="1" width="4" style="9" customWidth="1"/>
    <col min="2" max="2" width="42" style="9" customWidth="1"/>
    <col min="3" max="3" width="22.140625" style="39" customWidth="1"/>
    <col min="4" max="4" width="40" style="9" customWidth="1"/>
    <col min="5" max="7" width="9.140625" style="9"/>
    <col min="8" max="8" width="17" style="10" bestFit="1" customWidth="1"/>
    <col min="9" max="16384" width="9.140625" style="9"/>
  </cols>
  <sheetData>
    <row r="1" spans="2:8" hidden="1"/>
    <row r="2" spans="2:8" ht="26.1" hidden="1" customHeight="1">
      <c r="B2" s="78" t="s">
        <v>12</v>
      </c>
      <c r="C2" s="79"/>
      <c r="D2" s="79"/>
    </row>
    <row r="4" spans="2:8" ht="19.5">
      <c r="B4" s="69" t="s">
        <v>13</v>
      </c>
      <c r="C4" s="70" t="s">
        <v>14</v>
      </c>
      <c r="D4" s="69" t="s">
        <v>15</v>
      </c>
    </row>
    <row r="5" spans="2:8" ht="19.5">
      <c r="B5" s="64" t="s">
        <v>155</v>
      </c>
      <c r="C5" s="65">
        <f>'صورت سود و زیان'!C5*10%</f>
        <v>168765849661</v>
      </c>
      <c r="D5" s="66" t="s">
        <v>139</v>
      </c>
      <c r="H5" s="67"/>
    </row>
    <row r="6" spans="2:8" ht="19.5">
      <c r="B6" s="64" t="s">
        <v>145</v>
      </c>
      <c r="C6" s="65">
        <v>150000000000</v>
      </c>
      <c r="D6" s="66" t="s">
        <v>139</v>
      </c>
      <c r="H6" s="67"/>
    </row>
    <row r="7" spans="2:8" ht="19.5">
      <c r="B7" s="64" t="s">
        <v>146</v>
      </c>
      <c r="C7" s="65"/>
      <c r="D7" s="66" t="s">
        <v>139</v>
      </c>
      <c r="H7" s="67"/>
    </row>
    <row r="8" spans="2:8" s="74" customFormat="1" ht="19.5">
      <c r="B8" s="64" t="s">
        <v>154</v>
      </c>
      <c r="C8" s="65">
        <f>'صورت وضعیت مالی'!C13-'داده های ورودی'!C6-'داده های ورودی'!C5</f>
        <v>-225937952491</v>
      </c>
      <c r="D8" s="66"/>
      <c r="H8" s="67"/>
    </row>
    <row r="9" spans="2:8" s="74" customFormat="1" ht="19.5">
      <c r="B9" s="64" t="s">
        <v>156</v>
      </c>
      <c r="C9" s="65">
        <f>-(C11/12)*C8*6</f>
        <v>41798521210.835007</v>
      </c>
      <c r="D9" s="66"/>
      <c r="H9" s="67"/>
    </row>
    <row r="10" spans="2:8" ht="19.5">
      <c r="B10" s="64" t="s">
        <v>16</v>
      </c>
      <c r="C10" s="65">
        <v>1000000000000</v>
      </c>
      <c r="D10" s="66" t="s">
        <v>139</v>
      </c>
      <c r="H10" s="67"/>
    </row>
    <row r="11" spans="2:8" ht="19.5">
      <c r="B11" s="64" t="s">
        <v>17</v>
      </c>
      <c r="C11" s="68">
        <v>0.37</v>
      </c>
      <c r="D11" s="66" t="s">
        <v>18</v>
      </c>
      <c r="H11" s="67"/>
    </row>
    <row r="12" spans="2:8" s="74" customFormat="1" ht="19.5">
      <c r="B12" s="64" t="s">
        <v>152</v>
      </c>
      <c r="C12" s="65">
        <v>12</v>
      </c>
      <c r="D12" s="66" t="s">
        <v>138</v>
      </c>
      <c r="H12" s="67"/>
    </row>
    <row r="13" spans="2:8" s="74" customFormat="1" ht="19.5">
      <c r="B13" s="64" t="s">
        <v>16</v>
      </c>
      <c r="C13" s="65">
        <v>370000000000</v>
      </c>
      <c r="D13" s="66" t="s">
        <v>139</v>
      </c>
      <c r="H13" s="67"/>
    </row>
    <row r="14" spans="2:8" s="74" customFormat="1" ht="19.5">
      <c r="B14" s="64" t="s">
        <v>17</v>
      </c>
      <c r="C14" s="68">
        <v>0.23</v>
      </c>
      <c r="D14" s="66" t="s">
        <v>18</v>
      </c>
      <c r="H14" s="67"/>
    </row>
    <row r="15" spans="2:8" ht="19.5">
      <c r="B15" s="64" t="s">
        <v>152</v>
      </c>
      <c r="C15" s="65">
        <v>6</v>
      </c>
      <c r="D15" s="66" t="s">
        <v>138</v>
      </c>
      <c r="H15" s="67"/>
    </row>
    <row r="16" spans="2:8">
      <c r="B16" s="9" t="s">
        <v>150</v>
      </c>
      <c r="C16" s="39">
        <f>420000000000*4</f>
        <v>1680000000000</v>
      </c>
    </row>
    <row r="17" spans="2:3">
      <c r="B17" s="9" t="s">
        <v>151</v>
      </c>
      <c r="C17" s="39">
        <f>78000000000*4</f>
        <v>312000000000</v>
      </c>
    </row>
  </sheetData>
  <mergeCells count="1">
    <mergeCell ref="B2:D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rightToLeft="1" view="pageBreakPreview" zoomScale="112" zoomScaleNormal="100" zoomScaleSheetLayoutView="112" workbookViewId="0">
      <pane ySplit="2" topLeftCell="A3" activePane="bottomLeft" state="frozen"/>
      <selection pane="bottomLeft" activeCell="C7" sqref="C7"/>
    </sheetView>
  </sheetViews>
  <sheetFormatPr defaultRowHeight="18"/>
  <cols>
    <col min="1" max="1" width="4" style="9" customWidth="1"/>
    <col min="2" max="2" width="33.28515625" style="9" customWidth="1"/>
    <col min="3" max="3" width="25.42578125" style="17" customWidth="1"/>
    <col min="4" max="4" width="2.85546875" style="17" customWidth="1"/>
    <col min="5" max="5" width="25.42578125" style="17" customWidth="1"/>
    <col min="6" max="6" width="9.140625" style="9"/>
    <col min="7" max="7" width="12" style="9" bestFit="1" customWidth="1"/>
    <col min="8" max="8" width="9.140625" style="9"/>
    <col min="9" max="9" width="16" style="10" bestFit="1" customWidth="1"/>
    <col min="10" max="10" width="13.85546875" style="9" bestFit="1" customWidth="1"/>
    <col min="11" max="11" width="15.140625" style="9" bestFit="1" customWidth="1"/>
    <col min="12" max="16384" width="9.140625" style="9"/>
  </cols>
  <sheetData>
    <row r="1" spans="1:11" ht="68.25" customHeight="1">
      <c r="A1" s="80" t="s">
        <v>141</v>
      </c>
      <c r="B1" s="81"/>
      <c r="C1" s="81"/>
      <c r="D1" s="81"/>
      <c r="E1" s="81"/>
    </row>
    <row r="2" spans="1:11" ht="19.5">
      <c r="B2" s="62"/>
      <c r="I2" s="63"/>
    </row>
    <row r="3" spans="1:11" s="22" customFormat="1" ht="21">
      <c r="C3" s="32" t="s">
        <v>50</v>
      </c>
      <c r="D3" s="33"/>
      <c r="E3" s="32" t="s">
        <v>51</v>
      </c>
      <c r="I3" s="25"/>
    </row>
    <row r="4" spans="1:11" s="22" customFormat="1" ht="9" customHeight="1">
      <c r="C4" s="33"/>
      <c r="D4" s="33"/>
      <c r="E4" s="33"/>
      <c r="I4" s="25"/>
    </row>
    <row r="5" spans="1:11">
      <c r="B5" s="26" t="s">
        <v>83</v>
      </c>
      <c r="C5" s="17">
        <v>1687658496610</v>
      </c>
      <c r="E5" s="17">
        <v>1508537827206</v>
      </c>
      <c r="I5" s="11"/>
    </row>
    <row r="6" spans="1:11">
      <c r="B6" s="26" t="s">
        <v>84</v>
      </c>
      <c r="C6" s="18">
        <f>-(1170002579132+'نقد حاصل از عملیات'!C8+'نقد حاصل از عملیات'!C9)</f>
        <v>-1198108031476</v>
      </c>
      <c r="E6" s="18">
        <v>-1087805566145</v>
      </c>
    </row>
    <row r="7" spans="1:11">
      <c r="B7" s="27" t="s">
        <v>85</v>
      </c>
      <c r="C7" s="17">
        <f>SUM(C5:C6)</f>
        <v>489550465134</v>
      </c>
      <c r="E7" s="17">
        <f>SUM(E5:E6)</f>
        <v>420732261061</v>
      </c>
    </row>
    <row r="8" spans="1:11">
      <c r="B8" s="27" t="s">
        <v>86</v>
      </c>
      <c r="C8" s="17">
        <v>-54367573468</v>
      </c>
      <c r="E8" s="17">
        <v>-97347860956</v>
      </c>
    </row>
    <row r="9" spans="1:11">
      <c r="B9" s="27" t="s">
        <v>87</v>
      </c>
      <c r="C9" s="18">
        <v>0</v>
      </c>
      <c r="E9" s="18">
        <v>0</v>
      </c>
    </row>
    <row r="10" spans="1:11">
      <c r="B10" s="27" t="s">
        <v>88</v>
      </c>
      <c r="C10" s="17">
        <f>SUM(C7:C9)</f>
        <v>435182891666</v>
      </c>
      <c r="E10" s="17">
        <f>SUM(E7:E9)</f>
        <v>323384400105</v>
      </c>
    </row>
    <row r="11" spans="1:11">
      <c r="B11" s="27" t="s">
        <v>89</v>
      </c>
      <c r="C11" s="17">
        <v>-47936509185</v>
      </c>
      <c r="E11" s="17">
        <v>-63594165874</v>
      </c>
    </row>
    <row r="12" spans="1:11">
      <c r="B12" s="27" t="s">
        <v>90</v>
      </c>
      <c r="C12" s="18">
        <v>0</v>
      </c>
      <c r="E12" s="18">
        <v>2162684</v>
      </c>
    </row>
    <row r="13" spans="1:11">
      <c r="B13" s="27" t="s">
        <v>91</v>
      </c>
      <c r="C13" s="17">
        <f>SUM(C10:C12)</f>
        <v>387246382481</v>
      </c>
      <c r="E13" s="17">
        <f>SUM(E10:E12)</f>
        <v>259792396915</v>
      </c>
      <c r="I13" s="36"/>
      <c r="J13" s="37"/>
      <c r="K13" s="10"/>
    </row>
    <row r="14" spans="1:11">
      <c r="B14" s="27" t="s">
        <v>92</v>
      </c>
      <c r="C14" s="18">
        <v>0</v>
      </c>
      <c r="E14" s="18">
        <v>-2573506002</v>
      </c>
      <c r="I14" s="36"/>
      <c r="J14" s="37"/>
      <c r="K14" s="37"/>
    </row>
    <row r="15" spans="1:11" ht="18.75" thickBot="1">
      <c r="B15" s="27" t="s">
        <v>49</v>
      </c>
      <c r="C15" s="31">
        <f>SUM(C13:C14)</f>
        <v>387246382481</v>
      </c>
      <c r="E15" s="31">
        <f>SUM(E13:E14)</f>
        <v>257218890913</v>
      </c>
      <c r="I15" s="36"/>
      <c r="J15" s="37"/>
      <c r="K15" s="37"/>
    </row>
    <row r="16" spans="1:11" ht="18.75" thickTop="1">
      <c r="B16" s="28"/>
      <c r="I16" s="36"/>
      <c r="J16" s="37"/>
      <c r="K16" s="37"/>
    </row>
    <row r="17" spans="2:11">
      <c r="B17" s="28"/>
      <c r="I17" s="36"/>
      <c r="J17" s="37"/>
      <c r="K17" s="37"/>
    </row>
    <row r="18" spans="2:11" ht="19.5">
      <c r="B18" s="29" t="s">
        <v>93</v>
      </c>
    </row>
    <row r="19" spans="2:11" ht="19.5">
      <c r="B19" s="29" t="s">
        <v>94</v>
      </c>
    </row>
    <row r="20" spans="2:11" ht="19.5">
      <c r="B20" s="29" t="s">
        <v>127</v>
      </c>
      <c r="C20" s="17">
        <v>60000</v>
      </c>
      <c r="E20" s="17">
        <v>60000</v>
      </c>
    </row>
    <row r="21" spans="2:11">
      <c r="B21" s="30" t="s">
        <v>95</v>
      </c>
      <c r="C21" s="17">
        <f t="shared" ref="C21" si="0">(C10+C14)/C20</f>
        <v>7253048.1944333334</v>
      </c>
      <c r="E21" s="17">
        <f>(E10+E14)/E20</f>
        <v>5346848.2350500003</v>
      </c>
    </row>
    <row r="22" spans="2:11">
      <c r="B22" s="30" t="s">
        <v>96</v>
      </c>
      <c r="C22" s="18">
        <f>C11/C20</f>
        <v>-798941.81975000002</v>
      </c>
      <c r="E22" s="18">
        <v>-1059866.7198333333</v>
      </c>
    </row>
    <row r="23" spans="2:11" ht="18.75" thickBot="1">
      <c r="B23" s="30" t="s">
        <v>94</v>
      </c>
      <c r="C23" s="31">
        <f>C15/C20</f>
        <v>6454106.3746833336</v>
      </c>
      <c r="E23" s="31">
        <v>4286981.5152166663</v>
      </c>
    </row>
    <row r="24" spans="2:11" ht="18.75" thickTop="1"/>
  </sheetData>
  <mergeCells count="1">
    <mergeCell ref="A1:E1"/>
  </mergeCells>
  <printOptions horizontalCentered="1"/>
  <pageMargins left="0" right="0" top="0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rightToLeft="1" view="pageBreakPreview" zoomScale="150" zoomScaleNormal="100" zoomScaleSheetLayoutView="150" workbookViewId="0">
      <pane ySplit="2" topLeftCell="A13" activePane="bottomLeft" state="frozen"/>
      <selection pane="bottomLeft" activeCell="C12" sqref="C12"/>
    </sheetView>
  </sheetViews>
  <sheetFormatPr defaultRowHeight="18"/>
  <cols>
    <col min="1" max="1" width="4" style="9" customWidth="1"/>
    <col min="2" max="2" width="37" style="9" customWidth="1"/>
    <col min="3" max="3" width="25.42578125" style="12" customWidth="1"/>
    <col min="4" max="4" width="4.42578125" style="12" customWidth="1"/>
    <col min="5" max="5" width="25.42578125" style="12" customWidth="1"/>
    <col min="6" max="8" width="9.140625" style="9"/>
    <col min="9" max="9" width="17" style="10" bestFit="1" customWidth="1"/>
    <col min="10" max="10" width="20" style="9" bestFit="1" customWidth="1"/>
    <col min="11" max="12" width="15.140625" style="10" bestFit="1" customWidth="1"/>
    <col min="13" max="13" width="17" style="9" bestFit="1" customWidth="1"/>
    <col min="14" max="16384" width="9.140625" style="9"/>
  </cols>
  <sheetData>
    <row r="1" spans="2:13" s="19" customFormat="1" ht="60.75" customHeight="1">
      <c r="B1" s="82" t="s">
        <v>140</v>
      </c>
      <c r="C1" s="83"/>
      <c r="D1" s="83"/>
      <c r="E1" s="83"/>
      <c r="I1" s="61"/>
      <c r="K1" s="61"/>
      <c r="L1" s="61"/>
    </row>
    <row r="3" spans="2:13" s="22" customFormat="1" ht="21">
      <c r="C3" s="23" t="s">
        <v>50</v>
      </c>
      <c r="D3" s="24"/>
      <c r="E3" s="23" t="s">
        <v>51</v>
      </c>
      <c r="I3" s="25"/>
      <c r="K3" s="25"/>
      <c r="L3" s="25"/>
    </row>
    <row r="4" spans="2:13" ht="19.5">
      <c r="B4" s="13" t="s">
        <v>97</v>
      </c>
      <c r="C4" s="17"/>
      <c r="D4" s="17"/>
      <c r="E4" s="17"/>
      <c r="I4" s="11"/>
      <c r="K4" s="11"/>
      <c r="L4" s="11"/>
    </row>
    <row r="5" spans="2:13" ht="19.5">
      <c r="B5" s="35" t="s">
        <v>98</v>
      </c>
      <c r="C5" s="17"/>
      <c r="D5" s="17"/>
      <c r="E5" s="17"/>
    </row>
    <row r="6" spans="2:13">
      <c r="B6" s="15" t="s">
        <v>99</v>
      </c>
      <c r="C6" s="17">
        <f>57214437800-'نقد حاصل از عملیات'!C9</f>
        <v>50636379247</v>
      </c>
      <c r="D6" s="17"/>
      <c r="E6" s="17">
        <v>56956437800</v>
      </c>
      <c r="J6" s="36"/>
      <c r="L6" s="37"/>
    </row>
    <row r="7" spans="2:13">
      <c r="B7" s="15" t="s">
        <v>100</v>
      </c>
      <c r="C7" s="18">
        <v>9298642941</v>
      </c>
      <c r="D7" s="17"/>
      <c r="E7" s="18">
        <v>6845188395</v>
      </c>
      <c r="J7" s="36"/>
      <c r="K7" s="37"/>
      <c r="L7" s="37"/>
    </row>
    <row r="8" spans="2:13" ht="19.5">
      <c r="B8" s="13" t="s">
        <v>101</v>
      </c>
      <c r="C8" s="17">
        <f>SUM(C6:C7)</f>
        <v>59935022188</v>
      </c>
      <c r="D8" s="17"/>
      <c r="E8" s="17">
        <f>SUM(E6:E7)</f>
        <v>63801626195</v>
      </c>
      <c r="J8" s="36"/>
      <c r="K8" s="37"/>
      <c r="L8" s="37"/>
    </row>
    <row r="9" spans="2:13" ht="19.5">
      <c r="B9" s="35" t="s">
        <v>102</v>
      </c>
      <c r="C9" s="34"/>
      <c r="D9" s="17"/>
      <c r="E9" s="34"/>
      <c r="J9" s="36"/>
      <c r="L9" s="37"/>
    </row>
    <row r="10" spans="2:13">
      <c r="B10" s="15" t="s">
        <v>103</v>
      </c>
      <c r="C10" s="17">
        <v>41839471333</v>
      </c>
      <c r="D10" s="17"/>
      <c r="E10" s="17">
        <v>41374521333</v>
      </c>
      <c r="J10" s="36"/>
      <c r="K10" s="37"/>
      <c r="L10" s="37"/>
    </row>
    <row r="11" spans="2:13">
      <c r="B11" s="15" t="s">
        <v>104</v>
      </c>
      <c r="C11" s="17">
        <v>349468235745</v>
      </c>
      <c r="D11" s="17"/>
      <c r="E11" s="17">
        <v>466343869831</v>
      </c>
      <c r="J11" s="36"/>
      <c r="K11" s="37"/>
      <c r="L11" s="37"/>
    </row>
    <row r="12" spans="2:13">
      <c r="B12" s="15" t="s">
        <v>105</v>
      </c>
      <c r="C12" s="17">
        <f>1461698460256+128213538231+2384840314</f>
        <v>1592296838801</v>
      </c>
      <c r="D12" s="17"/>
      <c r="E12" s="17">
        <v>820263587739</v>
      </c>
      <c r="J12" s="36"/>
      <c r="K12" s="37"/>
      <c r="L12" s="37"/>
      <c r="M12" s="38"/>
    </row>
    <row r="13" spans="2:13">
      <c r="B13" s="15" t="s">
        <v>106</v>
      </c>
      <c r="C13" s="18">
        <v>92827897170</v>
      </c>
      <c r="D13" s="17"/>
      <c r="E13" s="18">
        <v>55836595919</v>
      </c>
      <c r="J13" s="36"/>
      <c r="K13" s="37"/>
      <c r="L13" s="37"/>
    </row>
    <row r="14" spans="2:13" ht="19.5">
      <c r="B14" s="35" t="s">
        <v>107</v>
      </c>
      <c r="C14" s="18">
        <f>SUM(C10:C13)</f>
        <v>2076432443049</v>
      </c>
      <c r="D14" s="17"/>
      <c r="E14" s="18">
        <f>SUM(E10:E13)</f>
        <v>1383818574822</v>
      </c>
      <c r="J14" s="36"/>
      <c r="K14" s="37"/>
      <c r="L14" s="37"/>
    </row>
    <row r="15" spans="2:13" ht="20.25" thickBot="1">
      <c r="B15" s="35" t="s">
        <v>108</v>
      </c>
      <c r="C15" s="21">
        <f>C8+C14</f>
        <v>2136367465237</v>
      </c>
      <c r="D15" s="17"/>
      <c r="E15" s="21">
        <f>E8+E14</f>
        <v>1447620201017</v>
      </c>
      <c r="J15" s="36"/>
      <c r="K15" s="37"/>
      <c r="L15" s="37"/>
    </row>
    <row r="16" spans="2:13" ht="20.25" thickTop="1">
      <c r="B16" s="35" t="s">
        <v>109</v>
      </c>
      <c r="C16" s="17"/>
      <c r="D16" s="17"/>
      <c r="E16" s="17"/>
      <c r="J16" s="36"/>
      <c r="K16" s="37"/>
      <c r="L16" s="37"/>
    </row>
    <row r="17" spans="2:13" ht="19.5">
      <c r="B17" s="35" t="s">
        <v>110</v>
      </c>
      <c r="C17" s="17"/>
      <c r="D17" s="17"/>
      <c r="E17" s="17"/>
      <c r="J17" s="36"/>
      <c r="K17" s="37"/>
      <c r="L17" s="37"/>
    </row>
    <row r="18" spans="2:13">
      <c r="B18" s="9" t="s">
        <v>111</v>
      </c>
      <c r="C18" s="17">
        <v>6000000000</v>
      </c>
      <c r="D18" s="17"/>
      <c r="E18" s="17">
        <v>6000000000</v>
      </c>
      <c r="J18" s="36"/>
      <c r="K18" s="37"/>
      <c r="L18" s="37"/>
    </row>
    <row r="19" spans="2:13">
      <c r="B19" s="9" t="s">
        <v>112</v>
      </c>
      <c r="C19" s="17">
        <v>11372624255</v>
      </c>
      <c r="D19" s="17"/>
      <c r="E19" s="17">
        <v>11372624255</v>
      </c>
      <c r="J19" s="36"/>
      <c r="K19" s="37"/>
      <c r="L19" s="37"/>
    </row>
    <row r="20" spans="2:13">
      <c r="B20" s="9" t="s">
        <v>113</v>
      </c>
      <c r="C20" s="18">
        <f>370691949931+'صورت سود و زیان'!C15</f>
        <v>757938332412</v>
      </c>
      <c r="D20" s="17"/>
      <c r="E20" s="18">
        <v>373616135891</v>
      </c>
      <c r="J20" s="36"/>
      <c r="K20" s="37"/>
      <c r="L20" s="37"/>
      <c r="M20" s="38"/>
    </row>
    <row r="21" spans="2:13" ht="19.5">
      <c r="B21" s="19" t="s">
        <v>114</v>
      </c>
      <c r="C21" s="18">
        <f>SUM(C18:C20)</f>
        <v>775310956667</v>
      </c>
      <c r="D21" s="17"/>
      <c r="E21" s="18">
        <f>SUM(E18:E20)</f>
        <v>390988760146</v>
      </c>
      <c r="J21" s="36"/>
      <c r="K21" s="37"/>
      <c r="L21" s="37"/>
    </row>
    <row r="22" spans="2:13" ht="19.5">
      <c r="B22" s="19" t="s">
        <v>115</v>
      </c>
      <c r="C22" s="17"/>
      <c r="D22" s="17"/>
      <c r="E22" s="17"/>
      <c r="J22" s="36"/>
      <c r="K22" s="37"/>
      <c r="L22" s="37"/>
    </row>
    <row r="23" spans="2:13" ht="19.5">
      <c r="B23" s="19" t="s">
        <v>116</v>
      </c>
      <c r="C23" s="17"/>
      <c r="D23" s="17"/>
      <c r="E23" s="17"/>
      <c r="J23" s="36"/>
      <c r="K23" s="37"/>
      <c r="L23" s="37"/>
    </row>
    <row r="24" spans="2:13">
      <c r="B24" s="9" t="s">
        <v>117</v>
      </c>
      <c r="C24" s="18">
        <f>43054787584+(E24/12)*6</f>
        <v>64582181377</v>
      </c>
      <c r="D24" s="17"/>
      <c r="E24" s="18">
        <v>43054787586</v>
      </c>
      <c r="J24" s="36"/>
      <c r="K24" s="37"/>
      <c r="L24" s="37"/>
    </row>
    <row r="25" spans="2:13" ht="19.5">
      <c r="B25" s="19" t="s">
        <v>118</v>
      </c>
      <c r="C25" s="18">
        <f>SUM(C24)</f>
        <v>64582181377</v>
      </c>
      <c r="D25" s="17"/>
      <c r="E25" s="18">
        <f>SUM(E24)</f>
        <v>43054787586</v>
      </c>
      <c r="J25" s="36"/>
      <c r="K25" s="37"/>
      <c r="L25" s="37"/>
    </row>
    <row r="26" spans="2:13" ht="19.5">
      <c r="B26" s="19" t="s">
        <v>119</v>
      </c>
      <c r="C26" s="17"/>
      <c r="D26" s="17"/>
      <c r="E26" s="17"/>
      <c r="J26" s="36"/>
      <c r="K26" s="37"/>
      <c r="L26" s="37"/>
    </row>
    <row r="27" spans="2:13">
      <c r="B27" s="9" t="s">
        <v>120</v>
      </c>
      <c r="C27" s="17">
        <f>386441436850+430843987903+42289337037</f>
        <v>859574761790</v>
      </c>
      <c r="D27" s="17"/>
      <c r="E27" s="17">
        <v>787919894513</v>
      </c>
      <c r="J27" s="36"/>
      <c r="K27" s="37"/>
      <c r="L27" s="37"/>
    </row>
    <row r="28" spans="2:13">
      <c r="B28" s="9" t="s">
        <v>121</v>
      </c>
      <c r="C28" s="17">
        <v>414114129518</v>
      </c>
      <c r="D28" s="17"/>
      <c r="E28" s="17">
        <v>206657647292</v>
      </c>
      <c r="J28" s="36"/>
      <c r="K28" s="37"/>
      <c r="L28" s="37"/>
    </row>
    <row r="29" spans="2:13">
      <c r="B29" s="9" t="s">
        <v>122</v>
      </c>
      <c r="C29" s="17">
        <v>0</v>
      </c>
      <c r="D29" s="17"/>
      <c r="E29" s="17">
        <v>0</v>
      </c>
      <c r="J29" s="36"/>
      <c r="K29" s="37"/>
      <c r="L29" s="37"/>
    </row>
    <row r="30" spans="2:13">
      <c r="B30" s="9" t="s">
        <v>123</v>
      </c>
      <c r="C30" s="18">
        <v>22785435880</v>
      </c>
      <c r="D30" s="17"/>
      <c r="E30" s="18">
        <v>18999111480</v>
      </c>
      <c r="J30" s="36"/>
      <c r="K30" s="37"/>
      <c r="L30" s="37"/>
    </row>
    <row r="31" spans="2:13" ht="19.5">
      <c r="B31" s="19" t="s">
        <v>124</v>
      </c>
      <c r="C31" s="18">
        <f>SUM(C27:C30)</f>
        <v>1296474327188</v>
      </c>
      <c r="D31" s="17"/>
      <c r="E31" s="18">
        <f>SUM(E27:E30)</f>
        <v>1013576653285</v>
      </c>
      <c r="J31" s="36"/>
      <c r="K31" s="37"/>
      <c r="L31" s="37"/>
    </row>
    <row r="32" spans="2:13" ht="19.5">
      <c r="B32" s="19" t="s">
        <v>125</v>
      </c>
      <c r="C32" s="18">
        <f>C25+C31</f>
        <v>1361056508565</v>
      </c>
      <c r="D32" s="17"/>
      <c r="E32" s="18">
        <f>E25+E31</f>
        <v>1056631440871</v>
      </c>
      <c r="J32" s="36"/>
      <c r="K32" s="37"/>
      <c r="L32" s="37"/>
    </row>
    <row r="33" spans="2:5" ht="20.25" thickBot="1">
      <c r="B33" s="19" t="s">
        <v>126</v>
      </c>
      <c r="C33" s="21">
        <f>C21+C32</f>
        <v>2136367465232</v>
      </c>
      <c r="D33" s="17"/>
      <c r="E33" s="21">
        <f>E21+E32</f>
        <v>1447620201017</v>
      </c>
    </row>
    <row r="34" spans="2:5" ht="18.75" thickTop="1"/>
    <row r="35" spans="2:5">
      <c r="C35" s="17">
        <f>C15-C33</f>
        <v>5</v>
      </c>
      <c r="D35" s="17"/>
      <c r="E35" s="17">
        <f>E15-E33</f>
        <v>0</v>
      </c>
    </row>
  </sheetData>
  <mergeCells count="1">
    <mergeCell ref="B1:E1"/>
  </mergeCells>
  <printOptions horizontalCentered="1"/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6"/>
  <sheetViews>
    <sheetView rightToLeft="1" workbookViewId="0">
      <pane ySplit="1" topLeftCell="A2" activePane="bottomLeft" state="frozen"/>
      <selection pane="bottomLeft" activeCell="E16" sqref="E16"/>
    </sheetView>
  </sheetViews>
  <sheetFormatPr defaultRowHeight="18"/>
  <cols>
    <col min="1" max="1" width="4" style="9" customWidth="1"/>
    <col min="2" max="2" width="42" style="9" customWidth="1"/>
    <col min="3" max="3" width="25.42578125" style="12" customWidth="1"/>
    <col min="4" max="4" width="2.85546875" style="12" customWidth="1"/>
    <col min="5" max="5" width="25.42578125" style="12" customWidth="1"/>
    <col min="6" max="8" width="9.140625" style="9"/>
    <col min="9" max="9" width="17" style="10" bestFit="1" customWidth="1"/>
    <col min="10" max="16384" width="9.140625" style="9"/>
  </cols>
  <sheetData>
    <row r="1" spans="2:9" ht="19.5">
      <c r="B1" s="71" t="s">
        <v>53</v>
      </c>
      <c r="I1" s="11"/>
    </row>
    <row r="2" spans="2:9" s="22" customFormat="1" ht="21">
      <c r="C2" s="23" t="s">
        <v>50</v>
      </c>
      <c r="D2" s="24"/>
      <c r="E2" s="23" t="s">
        <v>51</v>
      </c>
      <c r="I2" s="25"/>
    </row>
    <row r="3" spans="2:9" ht="19.5">
      <c r="B3" s="13" t="s">
        <v>49</v>
      </c>
      <c r="C3" s="17">
        <f>'صورت سود و زیان'!C15</f>
        <v>387246382481</v>
      </c>
      <c r="D3" s="17"/>
      <c r="E3" s="17">
        <f>'صورت سود و زیان'!E15</f>
        <v>257218890913</v>
      </c>
      <c r="I3" s="11"/>
    </row>
    <row r="4" spans="2:9" ht="19.5">
      <c r="B4" s="14" t="s">
        <v>52</v>
      </c>
      <c r="C4" s="17"/>
      <c r="D4" s="17"/>
      <c r="E4" s="17"/>
    </row>
    <row r="5" spans="2:9">
      <c r="B5" s="15" t="s">
        <v>54</v>
      </c>
      <c r="C5" s="17">
        <f>-'صورت سود و زیان'!C14</f>
        <v>0</v>
      </c>
      <c r="D5" s="17"/>
      <c r="E5" s="17">
        <f>-'صورت سود و زیان'!E14</f>
        <v>2573506002</v>
      </c>
    </row>
    <row r="6" spans="2:9">
      <c r="B6" s="15" t="s">
        <v>55</v>
      </c>
      <c r="C6" s="17">
        <f>-'صورت سود و زیان'!C11</f>
        <v>47936509185</v>
      </c>
      <c r="D6" s="17"/>
      <c r="E6" s="17">
        <v>63594165874</v>
      </c>
    </row>
    <row r="7" spans="2:9">
      <c r="B7" s="15" t="s">
        <v>56</v>
      </c>
      <c r="C7" s="17">
        <f>-'صورت سود و زیان'!C12</f>
        <v>0</v>
      </c>
      <c r="D7" s="17"/>
      <c r="E7" s="17">
        <f>-'صورت سود و زیان'!E12</f>
        <v>-2162684</v>
      </c>
    </row>
    <row r="8" spans="2:9">
      <c r="B8" s="15" t="s">
        <v>57</v>
      </c>
      <c r="C8" s="17">
        <f>'صورت وضعیت مالی'!C24-'صورت وضعیت مالی'!E24</f>
        <v>21527393791</v>
      </c>
      <c r="D8" s="17"/>
      <c r="E8" s="17">
        <v>23436584609</v>
      </c>
    </row>
    <row r="9" spans="2:9">
      <c r="B9" s="15" t="s">
        <v>58</v>
      </c>
      <c r="C9" s="18">
        <f>(E9/12)*6</f>
        <v>6578058553</v>
      </c>
      <c r="D9" s="17"/>
      <c r="E9" s="18">
        <v>13156117106</v>
      </c>
    </row>
    <row r="10" spans="2:9" ht="19.5">
      <c r="B10" s="13"/>
      <c r="C10" s="18">
        <f t="shared" ref="C10" si="0">SUM(C3:C9)</f>
        <v>463288344010</v>
      </c>
      <c r="D10" s="17"/>
      <c r="E10" s="18">
        <f>SUM(E3:E9)</f>
        <v>359977101820</v>
      </c>
    </row>
    <row r="11" spans="2:9">
      <c r="B11" s="16" t="s">
        <v>59</v>
      </c>
      <c r="C11" s="17">
        <f>'صورت وضعیت مالی'!E12-'صورت وضعیت مالی'!C12</f>
        <v>-772033251062</v>
      </c>
      <c r="D11" s="17"/>
      <c r="E11" s="17">
        <v>-460374075310</v>
      </c>
    </row>
    <row r="12" spans="2:9">
      <c r="B12" s="16" t="s">
        <v>60</v>
      </c>
      <c r="C12" s="17">
        <f>'صورت وضعیت مالی'!E11-'صورت وضعیت مالی'!C11</f>
        <v>116875634086</v>
      </c>
      <c r="D12" s="17"/>
      <c r="E12" s="17">
        <v>-261301335225</v>
      </c>
    </row>
    <row r="13" spans="2:9">
      <c r="B13" s="16" t="s">
        <v>61</v>
      </c>
      <c r="C13" s="17">
        <f>'صورت وضعیت مالی'!E10-'صورت وضعیت مالی'!C10</f>
        <v>-464950000</v>
      </c>
      <c r="D13" s="17"/>
      <c r="E13" s="17">
        <v>-15233862219</v>
      </c>
    </row>
    <row r="14" spans="2:9">
      <c r="B14" s="16" t="s">
        <v>62</v>
      </c>
      <c r="C14" s="17">
        <f>'صورت وضعیت مالی'!C27-'صورت وضعیت مالی'!E27</f>
        <v>71654867277</v>
      </c>
      <c r="D14" s="17"/>
      <c r="E14" s="17">
        <v>360037179124</v>
      </c>
    </row>
    <row r="15" spans="2:9">
      <c r="B15" s="16" t="s">
        <v>63</v>
      </c>
      <c r="C15" s="18">
        <f>'صورت وضعیت مالی'!C30-'صورت وضعیت مالی'!E30</f>
        <v>3786324400</v>
      </c>
      <c r="D15" s="17"/>
      <c r="E15" s="18">
        <v>18000000000</v>
      </c>
    </row>
    <row r="16" spans="2:9">
      <c r="C16" s="18">
        <f t="shared" ref="C16" si="1">SUM(C10:C15)</f>
        <v>-116893031289</v>
      </c>
      <c r="D16" s="17"/>
      <c r="E16" s="18">
        <f>SUM(E10:E15)</f>
        <v>1105008190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8"/>
  <sheetViews>
    <sheetView rightToLeft="1" tabSelected="1" view="pageBreakPreview" zoomScale="93" zoomScaleNormal="100" zoomScaleSheetLayoutView="93" workbookViewId="0">
      <pane ySplit="3" topLeftCell="A4" activePane="bottomLeft" state="frozen"/>
      <selection pane="bottomLeft" activeCell="D27" sqref="D27"/>
    </sheetView>
  </sheetViews>
  <sheetFormatPr defaultRowHeight="18"/>
  <cols>
    <col min="1" max="1" width="4" style="9" customWidth="1"/>
    <col min="2" max="2" width="50.7109375" style="9" customWidth="1"/>
    <col min="3" max="3" width="3.140625" style="9" customWidth="1"/>
    <col min="4" max="4" width="23.28515625" style="12" customWidth="1"/>
    <col min="5" max="5" width="2.85546875" style="12" customWidth="1"/>
    <col min="6" max="6" width="23.28515625" style="12" customWidth="1"/>
    <col min="7" max="9" width="9.140625" style="9"/>
    <col min="10" max="10" width="17" style="10" bestFit="1" customWidth="1"/>
    <col min="11" max="16384" width="9.140625" style="9"/>
  </cols>
  <sheetData>
    <row r="1" spans="2:10" ht="68.25" customHeight="1">
      <c r="B1" s="80" t="s">
        <v>142</v>
      </c>
      <c r="C1" s="81"/>
      <c r="D1" s="81"/>
      <c r="E1" s="81"/>
      <c r="F1" s="81"/>
    </row>
    <row r="3" spans="2:10" s="22" customFormat="1" ht="21">
      <c r="D3" s="23" t="s">
        <v>50</v>
      </c>
      <c r="E3" s="24"/>
      <c r="F3" s="23" t="s">
        <v>51</v>
      </c>
      <c r="J3" s="25"/>
    </row>
    <row r="4" spans="2:10" ht="19.5">
      <c r="B4" s="13" t="s">
        <v>64</v>
      </c>
      <c r="C4" s="13"/>
      <c r="F4" s="17"/>
      <c r="J4" s="11"/>
    </row>
    <row r="5" spans="2:10" ht="19.5">
      <c r="B5" s="14" t="s">
        <v>53</v>
      </c>
      <c r="C5" s="14"/>
      <c r="D5" s="17">
        <f>'نقد حاصل از عملیات'!C16</f>
        <v>-116893031289</v>
      </c>
      <c r="E5" s="17"/>
      <c r="F5" s="17">
        <f>'نقد حاصل از عملیات'!E16</f>
        <v>1105008190</v>
      </c>
    </row>
    <row r="6" spans="2:10">
      <c r="B6" s="15" t="s">
        <v>65</v>
      </c>
      <c r="C6" s="15"/>
      <c r="D6" s="18">
        <f>'صورت سود و زیان'!C14</f>
        <v>0</v>
      </c>
      <c r="E6" s="17"/>
      <c r="F6" s="18">
        <v>-2573506002</v>
      </c>
    </row>
    <row r="7" spans="2:10">
      <c r="B7" s="15" t="s">
        <v>66</v>
      </c>
      <c r="C7" s="15"/>
      <c r="D7" s="18">
        <f t="shared" ref="D7" si="0">SUM(D5:D6)</f>
        <v>-116893031289</v>
      </c>
      <c r="E7" s="17"/>
      <c r="F7" s="18">
        <f>SUM(F5:F6)</f>
        <v>-1468497812</v>
      </c>
    </row>
    <row r="8" spans="2:10">
      <c r="B8" s="15" t="s">
        <v>67</v>
      </c>
      <c r="C8" s="15"/>
      <c r="D8" s="17"/>
      <c r="E8" s="17"/>
      <c r="F8" s="17"/>
    </row>
    <row r="9" spans="2:10">
      <c r="B9" s="15" t="s">
        <v>68</v>
      </c>
      <c r="C9" s="15"/>
      <c r="D9" s="17"/>
      <c r="E9" s="17"/>
      <c r="F9" s="17">
        <v>0</v>
      </c>
    </row>
    <row r="10" spans="2:10">
      <c r="B10" s="15" t="s">
        <v>69</v>
      </c>
      <c r="C10" s="15"/>
      <c r="D10" s="17">
        <v>-258000000</v>
      </c>
      <c r="E10" s="17"/>
      <c r="F10" s="17">
        <v>-14628906000</v>
      </c>
    </row>
    <row r="11" spans="2:10">
      <c r="B11" s="15" t="s">
        <v>70</v>
      </c>
      <c r="C11" s="15"/>
      <c r="D11" s="17">
        <f>'صورت وضعیت مالی'!E7-'صورت وضعیت مالی'!C7</f>
        <v>-2453454546</v>
      </c>
      <c r="E11" s="17"/>
      <c r="F11" s="17">
        <v>-4532484847</v>
      </c>
    </row>
    <row r="12" spans="2:10">
      <c r="B12" s="16" t="s">
        <v>71</v>
      </c>
      <c r="C12" s="16"/>
      <c r="D12" s="17">
        <v>0</v>
      </c>
      <c r="E12" s="17"/>
      <c r="F12" s="17">
        <v>0</v>
      </c>
    </row>
    <row r="13" spans="2:10">
      <c r="B13" s="16" t="s">
        <v>72</v>
      </c>
      <c r="C13" s="16"/>
      <c r="D13" s="18">
        <v>0</v>
      </c>
      <c r="E13" s="17"/>
      <c r="F13" s="18">
        <v>2162684</v>
      </c>
    </row>
    <row r="14" spans="2:10">
      <c r="B14" s="16" t="s">
        <v>73</v>
      </c>
      <c r="C14" s="16"/>
      <c r="D14" s="17">
        <f t="shared" ref="D14" si="1">SUM(D9:D13)</f>
        <v>-2711454546</v>
      </c>
      <c r="E14" s="17"/>
      <c r="F14" s="17">
        <f>SUM(F9:F13)</f>
        <v>-19159228163</v>
      </c>
    </row>
    <row r="15" spans="2:10">
      <c r="B15" s="16" t="s">
        <v>74</v>
      </c>
      <c r="C15" s="16"/>
      <c r="D15" s="18">
        <f t="shared" ref="D15" si="2">D7+D14</f>
        <v>-119604485835</v>
      </c>
      <c r="E15" s="17"/>
      <c r="F15" s="18">
        <f>F7+F14</f>
        <v>-20627725975</v>
      </c>
    </row>
    <row r="16" spans="2:10" ht="19.5">
      <c r="B16" s="19" t="s">
        <v>75</v>
      </c>
      <c r="C16" s="19"/>
      <c r="D16" s="17"/>
      <c r="E16" s="17"/>
      <c r="F16" s="17"/>
    </row>
    <row r="17" spans="2:6">
      <c r="B17" s="9" t="s">
        <v>76</v>
      </c>
      <c r="D17" s="17">
        <v>678411739136</v>
      </c>
      <c r="E17" s="17"/>
      <c r="F17" s="17">
        <v>943241900163</v>
      </c>
    </row>
    <row r="18" spans="2:6">
      <c r="B18" s="9" t="s">
        <v>77</v>
      </c>
      <c r="D18" s="17">
        <v>-491587246122</v>
      </c>
      <c r="E18" s="17"/>
      <c r="F18" s="17">
        <v>-901419963726</v>
      </c>
    </row>
    <row r="19" spans="2:6">
      <c r="B19" s="9" t="s">
        <v>78</v>
      </c>
      <c r="D19" s="18">
        <v>-20724617232</v>
      </c>
      <c r="E19" s="17"/>
      <c r="F19" s="18">
        <v>-67872241421</v>
      </c>
    </row>
    <row r="20" spans="2:6">
      <c r="B20" s="9" t="s">
        <v>79</v>
      </c>
      <c r="D20" s="20">
        <f t="shared" ref="D20" si="3">SUM(D17:D19)</f>
        <v>166099875782</v>
      </c>
      <c r="E20" s="17"/>
      <c r="F20" s="20">
        <f>SUM(F17:F19)</f>
        <v>-26050304984</v>
      </c>
    </row>
    <row r="21" spans="2:6">
      <c r="B21" s="9" t="s">
        <v>80</v>
      </c>
      <c r="D21" s="17">
        <f t="shared" ref="D21" si="4">D15+D20</f>
        <v>46495389947</v>
      </c>
      <c r="E21" s="17"/>
      <c r="F21" s="17">
        <f>F15+F20</f>
        <v>-46678030959</v>
      </c>
    </row>
    <row r="22" spans="2:6">
      <c r="B22" s="9" t="s">
        <v>81</v>
      </c>
      <c r="D22" s="17">
        <f>F23</f>
        <v>55836595919</v>
      </c>
      <c r="E22" s="17"/>
      <c r="F22" s="17">
        <v>102514626878</v>
      </c>
    </row>
    <row r="23" spans="2:6" ht="18.75" thickBot="1">
      <c r="B23" s="9" t="s">
        <v>82</v>
      </c>
      <c r="D23" s="21">
        <f t="shared" ref="D23" si="5">SUM(D21:D22)</f>
        <v>102331985866</v>
      </c>
      <c r="E23" s="17"/>
      <c r="F23" s="21">
        <f>SUM(F21:F22)</f>
        <v>55836595919</v>
      </c>
    </row>
    <row r="24" spans="2:6" ht="18.75" thickTop="1"/>
    <row r="26" spans="2:6">
      <c r="D26" s="17">
        <f>D23-'صورت وضعیت مالی'!C13</f>
        <v>9504088696</v>
      </c>
    </row>
    <row r="27" spans="2:6">
      <c r="D27" s="17"/>
    </row>
    <row r="28" spans="2:6">
      <c r="D28" s="17"/>
    </row>
  </sheetData>
  <mergeCells count="1">
    <mergeCell ref="B1:F1"/>
  </mergeCells>
  <printOptions horizontalCentered="1"/>
  <pageMargins left="0" right="0" top="0" bottom="0" header="0" footer="0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view="pageBreakPreview" topLeftCell="A4" zoomScale="96" zoomScaleNormal="100" zoomScaleSheetLayoutView="96" workbookViewId="0">
      <selection activeCell="J15" sqref="J15"/>
    </sheetView>
  </sheetViews>
  <sheetFormatPr defaultRowHeight="15"/>
  <cols>
    <col min="2" max="2" width="37.28515625" bestFit="1" customWidth="1"/>
    <col min="3" max="3" width="1.7109375" customWidth="1"/>
    <col min="4" max="4" width="17.85546875" style="60" bestFit="1" customWidth="1"/>
    <col min="5" max="5" width="1.7109375" style="60" customWidth="1"/>
    <col min="6" max="6" width="16.28515625" style="60" bestFit="1" customWidth="1"/>
    <col min="7" max="7" width="1.7109375" style="60" customWidth="1"/>
    <col min="8" max="8" width="16.28515625" style="60" bestFit="1" customWidth="1"/>
    <col min="9" max="9" width="1.7109375" style="60" customWidth="1"/>
    <col min="10" max="10" width="15" style="60" bestFit="1" customWidth="1"/>
    <col min="11" max="11" width="1.7109375" style="60" customWidth="1"/>
    <col min="12" max="12" width="15.140625" style="60" bestFit="1" customWidth="1"/>
    <col min="13" max="13" width="1.7109375" style="60" customWidth="1"/>
    <col min="14" max="14" width="15.5703125" style="60" bestFit="1" customWidth="1"/>
    <col min="15" max="15" width="1.7109375" style="60" customWidth="1"/>
    <col min="16" max="16" width="15.7109375" style="60" bestFit="1" customWidth="1"/>
    <col min="17" max="17" width="1.7109375" style="60" customWidth="1"/>
    <col min="18" max="18" width="14.7109375" style="60" bestFit="1" customWidth="1"/>
    <col min="19" max="19" width="1.7109375" style="60" customWidth="1"/>
    <col min="20" max="20" width="14.7109375" style="60" bestFit="1" customWidth="1"/>
    <col min="21" max="21" width="8.85546875" customWidth="1"/>
  </cols>
  <sheetData>
    <row r="1" spans="1:20" ht="23.25" customHeight="1">
      <c r="A1" s="40"/>
      <c r="B1" s="41"/>
      <c r="C1" s="42"/>
      <c r="D1" s="52">
        <v>1405</v>
      </c>
      <c r="E1" s="50"/>
      <c r="F1" s="52">
        <v>1404</v>
      </c>
      <c r="G1" s="50"/>
      <c r="H1" s="52" t="s">
        <v>128</v>
      </c>
      <c r="I1" s="50"/>
      <c r="J1" s="43" t="s">
        <v>129</v>
      </c>
      <c r="K1" s="50"/>
      <c r="L1" s="43" t="s">
        <v>130</v>
      </c>
      <c r="M1" s="50"/>
      <c r="N1" s="43" t="s">
        <v>131</v>
      </c>
      <c r="O1" s="50"/>
      <c r="P1" s="43" t="s">
        <v>132</v>
      </c>
      <c r="Q1" s="50"/>
      <c r="R1" s="43" t="s">
        <v>133</v>
      </c>
      <c r="S1" s="50"/>
      <c r="T1" s="43" t="s">
        <v>134</v>
      </c>
    </row>
    <row r="2" spans="1:20" ht="23.25" customHeight="1">
      <c r="A2" s="44"/>
      <c r="B2" s="45" t="str">
        <f>'[1]وضعيت مالي'!B9</f>
        <v xml:space="preserve">دارایی هاي ثابت مشهود </v>
      </c>
      <c r="C2" s="42"/>
      <c r="D2" s="52">
        <f>'صورت وضعیت مالی'!C6</f>
        <v>50636379247</v>
      </c>
      <c r="E2" s="50"/>
      <c r="F2" s="52">
        <f>'صورت وضعیت مالی'!E6</f>
        <v>56956437800</v>
      </c>
      <c r="G2" s="50"/>
      <c r="H2" s="52">
        <f>F2-D2</f>
        <v>6320058553</v>
      </c>
      <c r="I2" s="50"/>
      <c r="J2" s="43"/>
      <c r="K2" s="50"/>
      <c r="L2" s="43">
        <f>J18</f>
        <v>6578058553</v>
      </c>
      <c r="M2" s="50"/>
      <c r="N2" s="43">
        <f>H2+J2-L2</f>
        <v>-258000000</v>
      </c>
      <c r="O2" s="50"/>
      <c r="P2" s="43"/>
      <c r="Q2" s="50"/>
      <c r="R2" s="43">
        <f>N2</f>
        <v>-258000000</v>
      </c>
      <c r="S2" s="50"/>
      <c r="T2" s="43"/>
    </row>
    <row r="3" spans="1:20" ht="23.25" customHeight="1">
      <c r="A3" s="46"/>
      <c r="B3" s="47" t="str">
        <f>'[1]وضعيت مالي'!B10</f>
        <v>دارایی هاي نامشهود</v>
      </c>
      <c r="C3" s="48"/>
      <c r="D3" s="55">
        <f>'صورت وضعیت مالی'!C7</f>
        <v>9298642941</v>
      </c>
      <c r="E3" s="56"/>
      <c r="F3" s="55">
        <f>'صورت وضعیت مالی'!E7</f>
        <v>6845188395</v>
      </c>
      <c r="G3" s="56"/>
      <c r="H3" s="55">
        <f t="shared" ref="H3:H6" si="0">F3-D3</f>
        <v>-2453454546</v>
      </c>
      <c r="I3" s="56"/>
      <c r="J3" s="49"/>
      <c r="K3" s="56"/>
      <c r="L3" s="49">
        <v>0</v>
      </c>
      <c r="M3" s="56"/>
      <c r="N3" s="49">
        <f t="shared" ref="N3:N25" si="1">H3+J3-L3</f>
        <v>-2453454546</v>
      </c>
      <c r="O3" s="56"/>
      <c r="P3" s="49"/>
      <c r="Q3" s="56"/>
      <c r="R3" s="49">
        <f>N3</f>
        <v>-2453454546</v>
      </c>
      <c r="S3" s="56"/>
      <c r="T3" s="49"/>
    </row>
    <row r="4" spans="1:20" ht="23.25" customHeight="1">
      <c r="A4" s="44"/>
      <c r="B4" s="45" t="str">
        <f>'[1]وضعيت مالي'!B13</f>
        <v xml:space="preserve">پيش پرداخت ها </v>
      </c>
      <c r="C4" s="42"/>
      <c r="D4" s="52">
        <f>'صورت وضعیت مالی'!C10</f>
        <v>41839471333</v>
      </c>
      <c r="E4" s="50"/>
      <c r="F4" s="52">
        <f>'صورت وضعیت مالی'!E10</f>
        <v>41374521333</v>
      </c>
      <c r="G4" s="50"/>
      <c r="H4" s="52">
        <f t="shared" si="0"/>
        <v>-464950000</v>
      </c>
      <c r="I4" s="50"/>
      <c r="J4" s="43"/>
      <c r="K4" s="50"/>
      <c r="L4" s="43"/>
      <c r="M4" s="50"/>
      <c r="N4" s="43">
        <f t="shared" si="1"/>
        <v>-464950000</v>
      </c>
      <c r="O4" s="50"/>
      <c r="P4" s="43">
        <f t="shared" ref="P4:P8" si="2">N4</f>
        <v>-464950000</v>
      </c>
      <c r="Q4" s="50"/>
      <c r="R4" s="43"/>
      <c r="S4" s="50"/>
      <c r="T4" s="43"/>
    </row>
    <row r="5" spans="1:20" ht="23.25" customHeight="1">
      <c r="A5" s="46"/>
      <c r="B5" s="47" t="str">
        <f>'[1]وضعيت مالي'!B14</f>
        <v xml:space="preserve">موجودي مواد و كالا </v>
      </c>
      <c r="C5" s="48"/>
      <c r="D5" s="55">
        <f>'صورت وضعیت مالی'!C11</f>
        <v>349468235745</v>
      </c>
      <c r="E5" s="56"/>
      <c r="F5" s="55">
        <f>'صورت وضعیت مالی'!E11</f>
        <v>466343869831</v>
      </c>
      <c r="G5" s="56"/>
      <c r="H5" s="55">
        <f t="shared" si="0"/>
        <v>116875634086</v>
      </c>
      <c r="I5" s="56"/>
      <c r="J5" s="49"/>
      <c r="K5" s="56"/>
      <c r="L5" s="49"/>
      <c r="M5" s="56"/>
      <c r="N5" s="49">
        <f t="shared" si="1"/>
        <v>116875634086</v>
      </c>
      <c r="O5" s="56"/>
      <c r="P5" s="49">
        <f t="shared" si="2"/>
        <v>116875634086</v>
      </c>
      <c r="Q5" s="56"/>
      <c r="R5" s="49"/>
      <c r="S5" s="56"/>
      <c r="T5" s="49"/>
    </row>
    <row r="6" spans="1:20" ht="23.25" customHeight="1">
      <c r="A6" s="44"/>
      <c r="B6" s="45" t="str">
        <f>'[1]وضعيت مالي'!B15</f>
        <v>دریافتنی هاي تجاری و ساير دريافتني ها</v>
      </c>
      <c r="C6" s="42"/>
      <c r="D6" s="52">
        <f>'صورت وضعیت مالی'!C12</f>
        <v>1592296838801</v>
      </c>
      <c r="E6" s="50"/>
      <c r="F6" s="52">
        <f>'صورت وضعیت مالی'!E12</f>
        <v>820263587739</v>
      </c>
      <c r="G6" s="50"/>
      <c r="H6" s="52">
        <f t="shared" si="0"/>
        <v>-772033251062</v>
      </c>
      <c r="I6" s="50"/>
      <c r="J6" s="43"/>
      <c r="K6" s="50"/>
      <c r="L6" s="43"/>
      <c r="M6" s="50"/>
      <c r="N6" s="43">
        <f t="shared" si="1"/>
        <v>-772033251062</v>
      </c>
      <c r="O6" s="50"/>
      <c r="P6" s="43">
        <f t="shared" si="2"/>
        <v>-772033251062</v>
      </c>
      <c r="Q6" s="50"/>
      <c r="R6" s="43"/>
      <c r="S6" s="50"/>
      <c r="T6" s="43"/>
    </row>
    <row r="7" spans="1:20" ht="23.25" customHeight="1">
      <c r="A7" s="46"/>
      <c r="B7" s="47" t="str">
        <f>'[1]وضعيت مالي'!B21</f>
        <v xml:space="preserve">سرمايه </v>
      </c>
      <c r="C7" s="48"/>
      <c r="D7" s="55">
        <f>'صورت وضعیت مالی'!C18</f>
        <v>6000000000</v>
      </c>
      <c r="E7" s="56"/>
      <c r="F7" s="55">
        <f>'صورت وضعیت مالی'!E18</f>
        <v>6000000000</v>
      </c>
      <c r="G7" s="56"/>
      <c r="H7" s="55">
        <f>D7-F7</f>
        <v>0</v>
      </c>
      <c r="I7" s="56"/>
      <c r="J7" s="49"/>
      <c r="K7" s="56"/>
      <c r="L7" s="49"/>
      <c r="M7" s="56"/>
      <c r="N7" s="49">
        <f t="shared" si="1"/>
        <v>0</v>
      </c>
      <c r="O7" s="56"/>
      <c r="P7" s="49">
        <f t="shared" si="2"/>
        <v>0</v>
      </c>
      <c r="Q7" s="56"/>
      <c r="R7" s="49"/>
      <c r="S7" s="56"/>
      <c r="T7" s="49"/>
    </row>
    <row r="8" spans="1:20" ht="23.25" customHeight="1">
      <c r="A8" s="44"/>
      <c r="B8" s="45" t="str">
        <f>'[1]وضعيت مالي'!B22</f>
        <v xml:space="preserve">اندوخته قانوني </v>
      </c>
      <c r="C8" s="42"/>
      <c r="D8" s="52">
        <f>'صورت وضعیت مالی'!C19</f>
        <v>11372624255</v>
      </c>
      <c r="E8" s="50"/>
      <c r="F8" s="52">
        <f>'صورت وضعیت مالی'!E19</f>
        <v>11372624255</v>
      </c>
      <c r="G8" s="50"/>
      <c r="H8" s="52">
        <f t="shared" ref="H8:H14" si="3">D8-F8</f>
        <v>0</v>
      </c>
      <c r="I8" s="50"/>
      <c r="J8" s="43"/>
      <c r="K8" s="50"/>
      <c r="L8" s="43">
        <f>H8</f>
        <v>0</v>
      </c>
      <c r="M8" s="50"/>
      <c r="N8" s="43">
        <f t="shared" si="1"/>
        <v>0</v>
      </c>
      <c r="O8" s="50"/>
      <c r="P8" s="43">
        <f t="shared" si="2"/>
        <v>0</v>
      </c>
      <c r="Q8" s="50"/>
      <c r="R8" s="43"/>
      <c r="S8" s="50"/>
      <c r="T8" s="43"/>
    </row>
    <row r="9" spans="1:20" ht="23.25" customHeight="1">
      <c r="A9" s="46"/>
      <c r="B9" s="47" t="str">
        <f>'[1]وضعيت مالي'!B23</f>
        <v xml:space="preserve">سود انباشته </v>
      </c>
      <c r="C9" s="48"/>
      <c r="D9" s="55">
        <f>'صورت وضعیت مالی'!C20</f>
        <v>757938332412</v>
      </c>
      <c r="E9" s="56"/>
      <c r="F9" s="55">
        <f>'صورت وضعیت مالی'!E20</f>
        <v>373616135891</v>
      </c>
      <c r="G9" s="56"/>
      <c r="H9" s="55">
        <f t="shared" si="3"/>
        <v>384322196521</v>
      </c>
      <c r="I9" s="56"/>
      <c r="J9" s="49">
        <f>L17</f>
        <v>0</v>
      </c>
      <c r="K9" s="56"/>
      <c r="L9" s="49">
        <f>J16</f>
        <v>0</v>
      </c>
      <c r="M9" s="56"/>
      <c r="N9" s="49">
        <f t="shared" si="1"/>
        <v>384322196521</v>
      </c>
      <c r="O9" s="56"/>
      <c r="P9" s="49">
        <f>N9</f>
        <v>384322196521</v>
      </c>
      <c r="Q9" s="56"/>
      <c r="R9" s="49"/>
      <c r="S9" s="56"/>
      <c r="T9" s="49"/>
    </row>
    <row r="10" spans="1:20" ht="23.25" customHeight="1">
      <c r="A10" s="44"/>
      <c r="B10" s="45" t="str">
        <f>'[1]وضعيت مالي'!B27</f>
        <v>ذخیره مزایای پایان خدمت کارکنان</v>
      </c>
      <c r="C10" s="42"/>
      <c r="D10" s="52">
        <f>'صورت وضعیت مالی'!C24</f>
        <v>64582181377</v>
      </c>
      <c r="E10" s="50"/>
      <c r="F10" s="52">
        <f>'صورت وضعیت مالی'!E24</f>
        <v>43054787586</v>
      </c>
      <c r="G10" s="50"/>
      <c r="H10" s="52">
        <f t="shared" si="3"/>
        <v>21527393791</v>
      </c>
      <c r="I10" s="50"/>
      <c r="J10" s="43"/>
      <c r="K10" s="50"/>
      <c r="L10" s="43"/>
      <c r="M10" s="50"/>
      <c r="N10" s="43">
        <f t="shared" si="1"/>
        <v>21527393791</v>
      </c>
      <c r="O10" s="50"/>
      <c r="P10" s="43">
        <f t="shared" ref="P10:P17" si="4">N10</f>
        <v>21527393791</v>
      </c>
      <c r="Q10" s="50"/>
      <c r="R10" s="43"/>
      <c r="S10" s="50"/>
      <c r="T10" s="43"/>
    </row>
    <row r="11" spans="1:20" ht="23.25" customHeight="1">
      <c r="A11" s="46"/>
      <c r="B11" s="47" t="str">
        <f>'[1]وضعيت مالي'!B30</f>
        <v>پرداختنی های تجاری و سایر پرداختنی ها</v>
      </c>
      <c r="C11" s="48"/>
      <c r="D11" s="55">
        <f>'صورت وضعیت مالی'!C27</f>
        <v>859574761790</v>
      </c>
      <c r="E11" s="56"/>
      <c r="F11" s="55">
        <f>'صورت وضعیت مالی'!E27</f>
        <v>787919894513</v>
      </c>
      <c r="G11" s="56"/>
      <c r="H11" s="55">
        <f t="shared" si="3"/>
        <v>71654867277</v>
      </c>
      <c r="I11" s="56"/>
      <c r="J11" s="49"/>
      <c r="K11" s="56"/>
      <c r="L11" s="49"/>
      <c r="M11" s="56"/>
      <c r="N11" s="49">
        <f t="shared" si="1"/>
        <v>71654867277</v>
      </c>
      <c r="O11" s="56"/>
      <c r="P11" s="49">
        <f t="shared" si="4"/>
        <v>71654867277</v>
      </c>
      <c r="Q11" s="56"/>
      <c r="R11" s="49"/>
      <c r="S11" s="56"/>
      <c r="T11" s="49"/>
    </row>
    <row r="12" spans="1:20" ht="23.25" customHeight="1">
      <c r="A12" s="44"/>
      <c r="B12" s="45" t="str">
        <f>'[1]وضعيت مالي'!B31</f>
        <v xml:space="preserve">تسهیلات مالی </v>
      </c>
      <c r="C12" s="42"/>
      <c r="D12" s="52">
        <f>'صورت وضعیت مالی'!C28</f>
        <v>414114129518</v>
      </c>
      <c r="E12" s="50"/>
      <c r="F12" s="52">
        <f>'صورت وضعیت مالی'!E28</f>
        <v>206657647292</v>
      </c>
      <c r="G12" s="50"/>
      <c r="H12" s="52">
        <f t="shared" si="3"/>
        <v>207456482226</v>
      </c>
      <c r="I12" s="50"/>
      <c r="J12" s="43"/>
      <c r="K12" s="50"/>
      <c r="L12" s="43">
        <f>J20</f>
        <v>47936509185</v>
      </c>
      <c r="M12" s="50"/>
      <c r="N12" s="43">
        <f t="shared" si="1"/>
        <v>159519973041</v>
      </c>
      <c r="O12" s="50"/>
      <c r="P12" s="43"/>
      <c r="Q12" s="50"/>
      <c r="R12" s="43"/>
      <c r="S12" s="50"/>
      <c r="T12" s="43">
        <f>N12</f>
        <v>159519973041</v>
      </c>
    </row>
    <row r="13" spans="1:20" ht="23.25" customHeight="1">
      <c r="A13" s="46"/>
      <c r="B13" s="47" t="str">
        <f>'[1]وضعيت مالي'!B32</f>
        <v>مالیات پرداختنی</v>
      </c>
      <c r="C13" s="48"/>
      <c r="D13" s="55">
        <f>'صورت وضعیت مالی'!C29</f>
        <v>0</v>
      </c>
      <c r="E13" s="56"/>
      <c r="F13" s="55">
        <f>'صورت وضعیت مالی'!E29</f>
        <v>0</v>
      </c>
      <c r="G13" s="56"/>
      <c r="H13" s="55">
        <f t="shared" si="3"/>
        <v>0</v>
      </c>
      <c r="I13" s="56"/>
      <c r="J13" s="49">
        <v>0</v>
      </c>
      <c r="K13" s="56"/>
      <c r="L13" s="49">
        <f>J19</f>
        <v>0</v>
      </c>
      <c r="M13" s="56"/>
      <c r="N13" s="49">
        <f t="shared" si="1"/>
        <v>0</v>
      </c>
      <c r="O13" s="56"/>
      <c r="P13" s="49">
        <f t="shared" si="4"/>
        <v>0</v>
      </c>
      <c r="Q13" s="56"/>
      <c r="R13" s="49"/>
      <c r="S13" s="56"/>
      <c r="T13" s="49"/>
    </row>
    <row r="14" spans="1:20" ht="23.25" customHeight="1">
      <c r="A14" s="44"/>
      <c r="B14" s="45" t="str">
        <f>'[1]وضعيت مالي'!B33</f>
        <v>بدهی ناشی از قراردادها</v>
      </c>
      <c r="C14" s="42"/>
      <c r="D14" s="52">
        <f>'صورت وضعیت مالی'!C30</f>
        <v>22785435880</v>
      </c>
      <c r="E14" s="50"/>
      <c r="F14" s="52">
        <f>'صورت وضعیت مالی'!E30</f>
        <v>18999111480</v>
      </c>
      <c r="G14" s="50"/>
      <c r="H14" s="52">
        <f t="shared" si="3"/>
        <v>3786324400</v>
      </c>
      <c r="I14" s="50"/>
      <c r="J14" s="43">
        <v>0</v>
      </c>
      <c r="K14" s="50"/>
      <c r="L14" s="43"/>
      <c r="M14" s="50"/>
      <c r="N14" s="43">
        <f t="shared" si="1"/>
        <v>3786324400</v>
      </c>
      <c r="O14" s="50"/>
      <c r="P14" s="43">
        <f t="shared" si="4"/>
        <v>3786324400</v>
      </c>
      <c r="Q14" s="50"/>
      <c r="R14" s="43"/>
      <c r="S14" s="50"/>
      <c r="T14" s="43"/>
    </row>
    <row r="15" spans="1:20" ht="23.25" customHeight="1">
      <c r="A15" s="84" t="s">
        <v>52</v>
      </c>
      <c r="B15" s="85"/>
      <c r="C15" s="85"/>
      <c r="D15" s="86"/>
      <c r="E15" s="52"/>
      <c r="F15" s="57"/>
      <c r="G15" s="52"/>
      <c r="H15" s="57"/>
      <c r="I15" s="52"/>
      <c r="J15" s="43"/>
      <c r="K15" s="52"/>
      <c r="L15" s="43"/>
      <c r="M15" s="52"/>
      <c r="N15" s="43">
        <f t="shared" si="1"/>
        <v>0</v>
      </c>
      <c r="O15" s="52"/>
      <c r="P15" s="43"/>
      <c r="Q15" s="52"/>
      <c r="R15" s="43"/>
      <c r="S15" s="52"/>
      <c r="T15" s="58"/>
    </row>
    <row r="16" spans="1:20" ht="23.25" customHeight="1">
      <c r="A16" s="46"/>
      <c r="B16" s="47" t="s">
        <v>49</v>
      </c>
      <c r="C16" s="48"/>
      <c r="D16" s="55"/>
      <c r="E16" s="56"/>
      <c r="F16" s="55"/>
      <c r="G16" s="56"/>
      <c r="H16" s="55"/>
      <c r="I16" s="56"/>
      <c r="J16" s="49"/>
      <c r="K16" s="56"/>
      <c r="L16" s="49"/>
      <c r="M16" s="56"/>
      <c r="N16" s="49">
        <f t="shared" si="1"/>
        <v>0</v>
      </c>
      <c r="O16" s="56"/>
      <c r="P16" s="49">
        <f t="shared" si="4"/>
        <v>0</v>
      </c>
      <c r="Q16" s="56"/>
      <c r="R16" s="49"/>
      <c r="S16" s="56"/>
      <c r="T16" s="49"/>
    </row>
    <row r="17" spans="1:20" ht="23.25" customHeight="1">
      <c r="A17" s="44"/>
      <c r="B17" s="45" t="s">
        <v>135</v>
      </c>
      <c r="C17" s="42"/>
      <c r="D17" s="52"/>
      <c r="E17" s="50"/>
      <c r="F17" s="52"/>
      <c r="G17" s="50"/>
      <c r="H17" s="52"/>
      <c r="I17" s="50"/>
      <c r="J17" s="43"/>
      <c r="K17" s="50"/>
      <c r="L17" s="43"/>
      <c r="M17" s="50"/>
      <c r="N17" s="43">
        <f t="shared" si="1"/>
        <v>0</v>
      </c>
      <c r="O17" s="50"/>
      <c r="P17" s="43">
        <f t="shared" si="4"/>
        <v>0</v>
      </c>
      <c r="Q17" s="50"/>
      <c r="R17" s="43"/>
      <c r="S17" s="50"/>
      <c r="T17" s="43"/>
    </row>
    <row r="18" spans="1:20" ht="23.25" customHeight="1">
      <c r="A18" s="46"/>
      <c r="B18" s="47" t="s">
        <v>136</v>
      </c>
      <c r="C18" s="48"/>
      <c r="D18" s="55"/>
      <c r="E18" s="56"/>
      <c r="F18" s="55"/>
      <c r="G18" s="56"/>
      <c r="H18" s="55"/>
      <c r="I18" s="56"/>
      <c r="J18" s="49">
        <f>'نقد حاصل از عملیات'!C9</f>
        <v>6578058553</v>
      </c>
      <c r="K18" s="56"/>
      <c r="L18" s="49"/>
      <c r="M18" s="56"/>
      <c r="N18" s="49">
        <f t="shared" si="1"/>
        <v>6578058553</v>
      </c>
      <c r="O18" s="56"/>
      <c r="P18" s="49">
        <f>J18</f>
        <v>6578058553</v>
      </c>
      <c r="Q18" s="56"/>
      <c r="R18" s="49"/>
      <c r="S18" s="56"/>
      <c r="T18" s="49"/>
    </row>
    <row r="19" spans="1:20" ht="23.25" customHeight="1">
      <c r="A19" s="44"/>
      <c r="B19" s="45" t="s">
        <v>54</v>
      </c>
      <c r="C19" s="42"/>
      <c r="D19" s="52"/>
      <c r="E19" s="50"/>
      <c r="F19" s="52"/>
      <c r="G19" s="50"/>
      <c r="H19" s="52"/>
      <c r="I19" s="50"/>
      <c r="J19" s="43">
        <v>0</v>
      </c>
      <c r="K19" s="50"/>
      <c r="L19" s="43"/>
      <c r="M19" s="50"/>
      <c r="N19" s="43">
        <f t="shared" si="1"/>
        <v>0</v>
      </c>
      <c r="O19" s="50"/>
      <c r="P19" s="43">
        <f>N19</f>
        <v>0</v>
      </c>
      <c r="Q19" s="50"/>
      <c r="R19" s="43"/>
      <c r="S19" s="50"/>
      <c r="T19" s="43"/>
    </row>
    <row r="20" spans="1:20" ht="23.25" customHeight="1">
      <c r="A20" s="46"/>
      <c r="B20" s="47" t="s">
        <v>55</v>
      </c>
      <c r="C20" s="48"/>
      <c r="D20" s="55"/>
      <c r="E20" s="56"/>
      <c r="F20" s="55"/>
      <c r="G20" s="56"/>
      <c r="H20" s="55"/>
      <c r="I20" s="56"/>
      <c r="J20" s="49">
        <f>-'صورت سود و زیان'!C11</f>
        <v>47936509185</v>
      </c>
      <c r="K20" s="56"/>
      <c r="L20" s="49"/>
      <c r="M20" s="56"/>
      <c r="N20" s="49">
        <f t="shared" si="1"/>
        <v>47936509185</v>
      </c>
      <c r="O20" s="56"/>
      <c r="P20" s="49">
        <f>N20</f>
        <v>47936509185</v>
      </c>
      <c r="Q20" s="56"/>
      <c r="R20" s="49"/>
      <c r="S20" s="56"/>
      <c r="T20" s="49"/>
    </row>
    <row r="21" spans="1:20" ht="23.25" customHeight="1">
      <c r="A21" s="44"/>
      <c r="B21" s="45" t="s">
        <v>56</v>
      </c>
      <c r="C21" s="42"/>
      <c r="D21" s="52"/>
      <c r="E21" s="50"/>
      <c r="F21" s="52"/>
      <c r="G21" s="50"/>
      <c r="H21" s="52"/>
      <c r="I21" s="50"/>
      <c r="J21" s="43">
        <v>0</v>
      </c>
      <c r="K21" s="50"/>
      <c r="L21" s="43"/>
      <c r="M21" s="50"/>
      <c r="N21" s="43">
        <f t="shared" si="1"/>
        <v>0</v>
      </c>
      <c r="O21" s="50"/>
      <c r="P21" s="43"/>
      <c r="Q21" s="50"/>
      <c r="R21" s="43"/>
      <c r="S21" s="50"/>
      <c r="T21" s="43"/>
    </row>
    <row r="22" spans="1:20" ht="23.25" customHeight="1">
      <c r="A22" s="46"/>
      <c r="B22" s="47" t="s">
        <v>56</v>
      </c>
      <c r="C22" s="48"/>
      <c r="D22" s="55"/>
      <c r="E22" s="56"/>
      <c r="F22" s="55"/>
      <c r="G22" s="56"/>
      <c r="H22" s="55"/>
      <c r="I22" s="56"/>
      <c r="J22" s="49"/>
      <c r="K22" s="56"/>
      <c r="L22" s="49">
        <f>J21</f>
        <v>0</v>
      </c>
      <c r="M22" s="56"/>
      <c r="N22" s="49">
        <f t="shared" si="1"/>
        <v>0</v>
      </c>
      <c r="O22" s="56"/>
      <c r="P22" s="49"/>
      <c r="Q22" s="56"/>
      <c r="R22" s="49"/>
      <c r="S22" s="56"/>
      <c r="T22" s="49"/>
    </row>
    <row r="23" spans="1:20" ht="23.25" customHeight="1">
      <c r="A23" s="44"/>
      <c r="B23" s="45" t="s">
        <v>137</v>
      </c>
      <c r="C23" s="42"/>
      <c r="D23" s="52"/>
      <c r="E23" s="50"/>
      <c r="F23" s="52"/>
      <c r="G23" s="50"/>
      <c r="H23" s="52"/>
      <c r="I23" s="50"/>
      <c r="J23" s="43"/>
      <c r="K23" s="50"/>
      <c r="L23" s="43"/>
      <c r="M23" s="50"/>
      <c r="N23" s="43">
        <f t="shared" si="1"/>
        <v>0</v>
      </c>
      <c r="O23" s="50"/>
      <c r="P23" s="43"/>
      <c r="Q23" s="50"/>
      <c r="R23" s="43"/>
      <c r="S23" s="50"/>
      <c r="T23" s="43"/>
    </row>
    <row r="24" spans="1:20" ht="23.25" customHeight="1">
      <c r="A24" s="46"/>
      <c r="B24" s="47" t="s">
        <v>137</v>
      </c>
      <c r="C24" s="48"/>
      <c r="D24" s="55"/>
      <c r="E24" s="56"/>
      <c r="F24" s="55"/>
      <c r="G24" s="56"/>
      <c r="H24" s="55"/>
      <c r="I24" s="56"/>
      <c r="J24" s="49"/>
      <c r="K24" s="56"/>
      <c r="L24" s="49"/>
      <c r="M24" s="56"/>
      <c r="N24" s="49">
        <f t="shared" si="1"/>
        <v>0</v>
      </c>
      <c r="O24" s="56"/>
      <c r="P24" s="49"/>
      <c r="Q24" s="56"/>
      <c r="R24" s="49"/>
      <c r="S24" s="56"/>
      <c r="T24" s="49"/>
    </row>
    <row r="25" spans="1:20" ht="23.25" customHeight="1">
      <c r="A25" s="44"/>
      <c r="B25" s="45" t="s">
        <v>52</v>
      </c>
      <c r="C25" s="42"/>
      <c r="D25" s="52"/>
      <c r="E25" s="50"/>
      <c r="F25" s="52"/>
      <c r="G25" s="50"/>
      <c r="H25" s="52"/>
      <c r="I25" s="50"/>
      <c r="J25" s="43"/>
      <c r="K25" s="50"/>
      <c r="L25" s="43"/>
      <c r="M25" s="50"/>
      <c r="N25" s="43">
        <f t="shared" si="1"/>
        <v>0</v>
      </c>
      <c r="O25" s="50"/>
      <c r="P25" s="43"/>
      <c r="Q25" s="50"/>
      <c r="R25" s="43"/>
      <c r="S25" s="50"/>
      <c r="T25" s="43"/>
    </row>
    <row r="26" spans="1:20" ht="23.25" customHeight="1">
      <c r="A26" s="50"/>
      <c r="B26" s="51"/>
      <c r="C26" s="50"/>
      <c r="D26" s="52"/>
      <c r="E26" s="50"/>
      <c r="F26" s="52"/>
      <c r="G26" s="50"/>
      <c r="H26" s="52">
        <f>SUM(H2:H14)</f>
        <v>36991301246</v>
      </c>
      <c r="I26" s="50"/>
      <c r="J26" s="43">
        <f>SUM(J2:J25)</f>
        <v>54514567738</v>
      </c>
      <c r="K26" s="50"/>
      <c r="L26" s="43">
        <f>SUM(L2:L25)</f>
        <v>54514567738</v>
      </c>
      <c r="M26" s="50"/>
      <c r="N26" s="43">
        <f>SUM(N2:N25)</f>
        <v>36991301246</v>
      </c>
      <c r="O26" s="50"/>
      <c r="P26" s="43">
        <f>SUM(P2:P25)</f>
        <v>-119817217249</v>
      </c>
      <c r="Q26" s="50"/>
      <c r="R26" s="43">
        <f>SUM(R2:R25)</f>
        <v>-2711454546</v>
      </c>
      <c r="S26" s="50"/>
      <c r="T26" s="43">
        <f>SUM(T2:T25)</f>
        <v>159519973041</v>
      </c>
    </row>
    <row r="27" spans="1:20" ht="23.25" customHeight="1">
      <c r="A27" s="40"/>
      <c r="B27" s="53"/>
      <c r="C27" s="40"/>
      <c r="D27" s="59"/>
      <c r="E27" s="54"/>
      <c r="F27" s="59"/>
      <c r="G27" s="54"/>
      <c r="H27" s="59"/>
      <c r="I27" s="54"/>
      <c r="J27" s="54"/>
      <c r="K27" s="54"/>
      <c r="L27" s="54"/>
      <c r="M27" s="54"/>
      <c r="N27" s="54">
        <f>N26-H26</f>
        <v>0</v>
      </c>
      <c r="O27" s="54"/>
      <c r="P27" s="54"/>
      <c r="Q27" s="54"/>
      <c r="R27" s="54">
        <f>SUM(P26:T26)</f>
        <v>36991301246</v>
      </c>
      <c r="S27" s="54"/>
      <c r="T27" s="54"/>
    </row>
    <row r="28" spans="1:20" ht="23.25" customHeight="1">
      <c r="A28" s="40"/>
      <c r="B28" s="53"/>
      <c r="C28" s="40"/>
      <c r="D28" s="59"/>
      <c r="E28" s="54"/>
      <c r="F28" s="59"/>
      <c r="G28" s="54"/>
      <c r="H28" s="59"/>
      <c r="I28" s="54"/>
      <c r="J28" s="54"/>
      <c r="K28" s="54"/>
      <c r="L28" s="54"/>
      <c r="M28" s="54"/>
      <c r="N28" s="54"/>
      <c r="O28" s="54"/>
      <c r="P28" s="54"/>
      <c r="Q28" s="54"/>
      <c r="R28" s="54">
        <f>H26-R27</f>
        <v>0</v>
      </c>
      <c r="S28" s="54"/>
      <c r="T28" s="54"/>
    </row>
  </sheetData>
  <mergeCells count="1">
    <mergeCell ref="A15:D15"/>
  </mergeCells>
  <conditionalFormatting sqref="F15">
    <cfRule type="cellIs" dxfId="9" priority="4" stopIfTrue="1" operator="lessThan">
      <formula>0</formula>
    </cfRule>
  </conditionalFormatting>
  <conditionalFormatting sqref="H15">
    <cfRule type="cellIs" dxfId="8" priority="1" stopIfTrue="1" operator="lessThan">
      <formula>0</formula>
    </cfRule>
  </conditionalFormatting>
  <pageMargins left="0.7" right="0.7" top="0.75" bottom="0.75" header="0.3" footer="0.3"/>
  <pageSetup paperSize="9" scale="6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rightToLeft="1" workbookViewId="0">
      <pane ySplit="3" topLeftCell="A4" activePane="bottomLeft" state="frozen"/>
      <selection pane="bottomLeft" activeCell="E11" sqref="E11"/>
    </sheetView>
  </sheetViews>
  <sheetFormatPr defaultRowHeight="15"/>
  <cols>
    <col min="1" max="1" width="4" customWidth="1"/>
    <col min="2" max="2" width="60" bestFit="1" customWidth="1"/>
    <col min="3" max="3" width="20.85546875" bestFit="1" customWidth="1"/>
    <col min="4" max="4" width="62.42578125" bestFit="1" customWidth="1"/>
    <col min="5" max="5" width="69.140625" bestFit="1" customWidth="1"/>
  </cols>
  <sheetData>
    <row r="2" spans="2:5" ht="26.1" customHeight="1">
      <c r="B2" s="87" t="s">
        <v>19</v>
      </c>
      <c r="C2" s="88"/>
      <c r="D2" s="88"/>
      <c r="E2" s="88"/>
    </row>
    <row r="3" spans="2:5">
      <c r="B3" s="72"/>
      <c r="C3" s="73"/>
      <c r="D3" s="72"/>
      <c r="E3" s="72"/>
    </row>
    <row r="4" spans="2:5">
      <c r="B4" s="6" t="s">
        <v>147</v>
      </c>
      <c r="C4" s="5">
        <f>'صورت وضعیت مالی'!C14-'صورت وضعیت مالی'!C31</f>
        <v>779958115861</v>
      </c>
      <c r="D4" s="4" t="s">
        <v>148</v>
      </c>
      <c r="E4" s="6" t="str">
        <f>IF(C4&gt;0,"OK — سرمایه در گردش مثبت است","بد — سرمایه در گردش منفی؛ نیاز فوری به تامین مالی")</f>
        <v>OK — سرمایه در گردش مثبت است</v>
      </c>
    </row>
    <row r="5" spans="2:5">
      <c r="B5" s="6" t="s">
        <v>20</v>
      </c>
      <c r="C5" s="7">
        <f>'صورت وضعیت مالی'!C14/'صورت وضعیت مالی'!C31</f>
        <v>1.6015993525708274</v>
      </c>
      <c r="D5" s="4" t="s">
        <v>21</v>
      </c>
      <c r="E5" s="6" t="str">
        <f>IF(C5&gt;=1.5,"OK — نقدینگی مناسب",IF(C5&gt;=1,"هشدار — نقدینگی کم؛ لبه بحران","بد — بدهی جاری از دارایی جاری بیشتر است"))</f>
        <v>OK — نقدینگی مناسب</v>
      </c>
    </row>
    <row r="6" spans="2:5">
      <c r="B6" s="6" t="s">
        <v>22</v>
      </c>
      <c r="C6" s="7">
        <f>('صورت وضعیت مالی'!C14-'صورت وضعیت مالی'!C11)/'صورت وضعیت مالی'!C31</f>
        <v>1.3320465905790166</v>
      </c>
      <c r="D6" s="4" t="s">
        <v>23</v>
      </c>
      <c r="E6" s="6" t="str">
        <f>IF(C6&gt;=1,"OK — توان پرداخت فوری کافی است",IF(C6&gt;=0.7,"هشدار — نقدینگی فوری محدود","بد — بدون فروش موجودی، بدهی پوشش داده نمی‌شود"))</f>
        <v>OK — توان پرداخت فوری کافی است</v>
      </c>
    </row>
    <row r="7" spans="2:5">
      <c r="B7" s="6" t="s">
        <v>24</v>
      </c>
      <c r="C7" s="5">
        <f>-('صورت وضعیت مالی'!C11/'صورت سود و زیان'!C6)*365</f>
        <v>106.46444452073614</v>
      </c>
      <c r="D7" s="4" t="s">
        <v>25</v>
      </c>
      <c r="E7" s="6" t="str">
        <f>IF(C7&lt;=90,"OK — گردش موجودی سریع",IF(C7&lt;=120,"هشدار — موجودی نسبتاً راکد","بد — موجودی سنگین؛ نقد را بلوکه می‌کند"))</f>
        <v>هشدار — موجودی نسبتاً راکد</v>
      </c>
    </row>
    <row r="8" spans="2:5">
      <c r="B8" s="6" t="s">
        <v>26</v>
      </c>
      <c r="C8" s="5">
        <f>('صورت وضعیت مالی'!C12/  'صورت سود و زیان'!C5)*365</f>
        <v>344.3755637350792</v>
      </c>
      <c r="D8" s="4" t="s">
        <v>27</v>
      </c>
      <c r="E8" s="6" t="str">
        <f>IF(C8&lt;=45,"OK — وصول مطالبات خوب",IF(C8&lt;=60,"هشدار — وصول نسبتاً کند","بد — مطالبات بالا؛ نقدینگی را مصرف می‌کند"))</f>
        <v>بد — مطالبات بالا؛ نقدینگی را مصرف می‌کند</v>
      </c>
    </row>
    <row r="9" spans="2:5">
      <c r="B9" s="6" t="s">
        <v>28</v>
      </c>
      <c r="C9" s="5">
        <f>-('صورت وضعیت مالی'!C31/'صورت سود و زیان'!C6)*365</f>
        <v>394.96699545586779</v>
      </c>
      <c r="D9" s="4" t="s">
        <v>29</v>
      </c>
      <c r="E9" s="6" t="str">
        <f>IF(C9&gt;=60,"OK — استفاده خوب از اعتبار تامین‌کنندگان",IF(C9&gt;=30,"هشدار — دوره پرداخت متوسط","بد — پرداخت زودهنگام؛ فشار نقدینگی"))</f>
        <v>OK — استفاده خوب از اعتبار تامین‌کنندگان</v>
      </c>
    </row>
    <row r="10" spans="2:5">
      <c r="B10" s="6" t="s">
        <v>149</v>
      </c>
      <c r="C10" s="5">
        <f>('داده های ورودی'!C10+C15)/'داده های ورودی'!C17</f>
        <v>3.7980769230769229</v>
      </c>
      <c r="D10" s="4"/>
      <c r="E10" s="6"/>
    </row>
    <row r="11" spans="2:5">
      <c r="B11" s="6" t="s">
        <v>153</v>
      </c>
      <c r="C11" s="5">
        <f>C7+C8-C9</f>
        <v>55.87301279994756</v>
      </c>
      <c r="D11" s="4" t="s">
        <v>30</v>
      </c>
      <c r="E11" s="6" t="str">
        <f>IF(C11&lt;=60,"OK — چرخه نقد کوتاه",IF(C11&lt;=90,"هشدار — چرخه نقد متوسط","بد — چرخه نقد طولانی؛ نیاز جدی به سرمایه در گردش"))</f>
        <v>OK — چرخه نقد کوتاه</v>
      </c>
    </row>
    <row r="12" spans="2:5">
      <c r="B12" s="6" t="s">
        <v>143</v>
      </c>
      <c r="C12" s="8">
        <f>'صورت سود و زیان'!C7/'صورت سود و زیان'!C5</f>
        <v>0.29007673419554969</v>
      </c>
      <c r="D12" s="4" t="s">
        <v>144</v>
      </c>
      <c r="E12" s="6" t="str">
        <f>IF(C12&gt;=0.1,"OK — حاشیه سود خوب",IF(C12&gt;0,"هشدار — حاشیه سود پایین","بد — عملیات زیان‌ده است"))</f>
        <v>OK — حاشیه سود خوب</v>
      </c>
    </row>
    <row r="13" spans="2:5">
      <c r="B13" s="6" t="s">
        <v>31</v>
      </c>
      <c r="C13" s="8">
        <f>'صورت سود و زیان'!C10/'صورت سود و زیان'!C5</f>
        <v>0.25786193862096624</v>
      </c>
      <c r="D13" s="4" t="s">
        <v>32</v>
      </c>
      <c r="E13" s="6" t="str">
        <f>IF(C13&gt;=0.1,"OK — حاشیه سود خوب",IF(C13&gt;0,"هشدار — حاشیه سود پایین","بد — عملیات زیان‌ده است"))</f>
        <v>OK — حاشیه سود خوب</v>
      </c>
    </row>
    <row r="14" spans="2:5">
      <c r="B14" s="6" t="s">
        <v>33</v>
      </c>
      <c r="C14" s="8">
        <f>'صورت سود و زیان'!C10/'صورت وضعیت مالی'!C14</f>
        <v>0.20958201318940309</v>
      </c>
      <c r="D14" s="4" t="s">
        <v>34</v>
      </c>
      <c r="E14" s="6" t="str">
        <f>IF(C14&gt;'داده های ورودی'!C11,"OK — بازده عملیات بیش از هزینه وام است","بد — بازده عملیات کمتر از نرخ بهره؛ وام سودآوری را کاهش می‌دهد")</f>
        <v>بد — بازده عملیات کمتر از نرخ بهره؛ وام سودآوری را کاهش می‌دهد</v>
      </c>
    </row>
    <row r="15" spans="2:5">
      <c r="B15" s="6" t="s">
        <v>35</v>
      </c>
      <c r="C15" s="5">
        <f>(('داده های ورودی'!C10*'داده های ورودی'!C11)/12)*'داده های ورودی'!C15</f>
        <v>185000000000</v>
      </c>
      <c r="D15" s="4" t="s">
        <v>36</v>
      </c>
      <c r="E15" s="6" t="e">
        <f>IF(C15&lt;'داده های ورودی'!#REF!,"OK — جریان نقد عملیاتی هزینه وام را پوشش می‌دهد","بد — هزینه وام بیش از جریان نقد عملیاتی است")</f>
        <v>#REF!</v>
      </c>
    </row>
    <row r="16" spans="2:5">
      <c r="B16" s="6" t="s">
        <v>37</v>
      </c>
      <c r="C16" s="7">
        <f>'جریان وجوه نقد'!D5/'محاسبات و تحلیل'!C15</f>
        <v>-0.63185422318378381</v>
      </c>
      <c r="D16" s="4" t="s">
        <v>38</v>
      </c>
      <c r="E16" s="6" t="str">
        <f>IF(C16&gt;=1.5,"OK — پوشش قوی",IF(C16&gt;=1.2,"هشدار — پوشش حداقلی","بد — جریان نقد کافی برای سرویس وام نیست"))</f>
        <v>بد — جریان نقد کافی برای سرویس وام نیست</v>
      </c>
    </row>
    <row r="18" spans="2:5">
      <c r="B18" s="94" t="s">
        <v>39</v>
      </c>
      <c r="C18" s="88"/>
      <c r="D18" s="88"/>
      <c r="E18" s="88"/>
    </row>
    <row r="19" spans="2:5">
      <c r="B19" s="89" t="s">
        <v>40</v>
      </c>
      <c r="C19" s="90"/>
      <c r="D19" s="89" t="s">
        <v>41</v>
      </c>
      <c r="E19" s="90"/>
    </row>
    <row r="20" spans="2:5">
      <c r="B20" s="91" t="s">
        <v>42</v>
      </c>
      <c r="C20" s="92"/>
      <c r="D20" s="93" t="str">
        <f>IF(C4&lt;0,"بله","خیر")</f>
        <v>خیر</v>
      </c>
      <c r="E20" s="76"/>
    </row>
    <row r="21" spans="2:5">
      <c r="B21" s="91" t="s">
        <v>43</v>
      </c>
      <c r="C21" s="92"/>
      <c r="D21" s="93" t="str">
        <f>IF(C5&lt;1,"بله","خیر")</f>
        <v>خیر</v>
      </c>
      <c r="E21" s="76"/>
    </row>
    <row r="22" spans="2:5">
      <c r="B22" s="91" t="s">
        <v>44</v>
      </c>
      <c r="C22" s="92"/>
      <c r="D22" s="93" t="str">
        <f>IF(C6&lt;0.7,"بله","خیر")</f>
        <v>خیر</v>
      </c>
      <c r="E22" s="76"/>
    </row>
    <row r="23" spans="2:5">
      <c r="B23" s="91" t="s">
        <v>45</v>
      </c>
      <c r="C23" s="92"/>
      <c r="D23" s="93" t="str">
        <f>IF(C11&gt;90,"بله","خیر")</f>
        <v>خیر</v>
      </c>
      <c r="E23" s="76"/>
    </row>
    <row r="24" spans="2:5">
      <c r="B24" s="91" t="s">
        <v>46</v>
      </c>
      <c r="C24" s="92"/>
      <c r="D24" s="93" t="str">
        <f>IF(C14&lt;='داده های ورودی'!C11,"بله","خیر")</f>
        <v>بله</v>
      </c>
      <c r="E24" s="76"/>
    </row>
    <row r="25" spans="2:5">
      <c r="B25" s="91" t="s">
        <v>47</v>
      </c>
      <c r="C25" s="92"/>
      <c r="D25" s="93" t="str">
        <f>IF(C16&lt;1.2,"بله","خیر")</f>
        <v>بله</v>
      </c>
      <c r="E25" s="76"/>
    </row>
    <row r="26" spans="2:5" ht="27.95" customHeight="1">
      <c r="B26" s="95" t="s">
        <v>48</v>
      </c>
      <c r="C26" s="88"/>
      <c r="D26" s="93" t="str">
        <f>IF(OR(C4&lt;0,C5&lt;1),"نیاز فوری به وام — ساختار نقدینگی شکننده است",IF(AND(C5&lt;1.5,C11&gt;90),"نیاز به وام توصیه می‌شود — فشار نقدینگی و چرخه نقد طولانی",IF(C11&gt;60,"نیاز مشروط — وام کوتاه‌مدت با نظارت بر گردش موجودی و وصول مطالبات","نیاز به وام کم است — نقدینگی نسبتاً سالم؛ وام فقط برای رشد")))</f>
        <v>نیاز به وام کم است — نقدینگی نسبتاً سالم؛ وام فقط برای رشد</v>
      </c>
      <c r="E26" s="76"/>
    </row>
  </sheetData>
  <mergeCells count="18">
    <mergeCell ref="B26:C26"/>
    <mergeCell ref="D26:E26"/>
    <mergeCell ref="D21:E21"/>
    <mergeCell ref="B21:C21"/>
    <mergeCell ref="B22:C22"/>
    <mergeCell ref="B25:C25"/>
    <mergeCell ref="D25:E25"/>
    <mergeCell ref="B24:C24"/>
    <mergeCell ref="D24:E24"/>
    <mergeCell ref="D22:E22"/>
    <mergeCell ref="B23:C23"/>
    <mergeCell ref="B2:E2"/>
    <mergeCell ref="B19:C19"/>
    <mergeCell ref="B20:C20"/>
    <mergeCell ref="D19:E19"/>
    <mergeCell ref="D23:E23"/>
    <mergeCell ref="B18:E18"/>
    <mergeCell ref="D20:E20"/>
  </mergeCells>
  <conditionalFormatting sqref="D20:D25">
    <cfRule type="expression" dxfId="7" priority="7">
      <formula>D20="بله"</formula>
    </cfRule>
    <cfRule type="expression" dxfId="6" priority="8">
      <formula>D20="خیر"</formula>
    </cfRule>
  </conditionalFormatting>
  <conditionalFormatting sqref="D26">
    <cfRule type="expression" dxfId="5" priority="19">
      <formula>ISNUMBER(SEARCH("فوری",D26))</formula>
    </cfRule>
    <cfRule type="expression" dxfId="4" priority="20">
      <formula>ISNUMBER(SEARCH("کم است",D26))</formula>
    </cfRule>
    <cfRule type="expression" dxfId="3" priority="21">
      <formula>OR(ISNUMBER(SEARCH("توصیه می‌شود",D26)),ISNUMBER(SEARCH("مشروط",D26)))</formula>
    </cfRule>
  </conditionalFormatting>
  <conditionalFormatting sqref="E4:E16">
    <cfRule type="expression" dxfId="2" priority="4">
      <formula>ISNUMBER(SEARCH("OK",E4))</formula>
    </cfRule>
    <cfRule type="expression" dxfId="1" priority="5">
      <formula>ISNUMBER(SEARCH("هشدار",E4))</formula>
    </cfRule>
    <cfRule type="expression" dxfId="0" priority="6">
      <formula>ISNUMBER(SEARCH("بد",E4))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راهنما</vt:lpstr>
      <vt:lpstr>داده های ورودی</vt:lpstr>
      <vt:lpstr>صورت سود و زیان</vt:lpstr>
      <vt:lpstr>صورت وضعیت مالی</vt:lpstr>
      <vt:lpstr>نقد حاصل از عملیات</vt:lpstr>
      <vt:lpstr>جریان وجوه نقد</vt:lpstr>
      <vt:lpstr>تست</vt:lpstr>
      <vt:lpstr>محاسبات و تحلیل</vt:lpstr>
      <vt:lpstr>'جریان وجوه نقد'!Print_Area</vt:lpstr>
      <vt:lpstr>'صورت وضعیت مالی'!Print_Area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ForoughAria</cp:lastModifiedBy>
  <cp:lastPrinted>2026-10-27T04:13:23Z</cp:lastPrinted>
  <dcterms:created xsi:type="dcterms:W3CDTF">2026-10-23T14:42:43Z</dcterms:created>
  <dcterms:modified xsi:type="dcterms:W3CDTF">2026-10-29T06:31:09Z</dcterms:modified>
</cp:coreProperties>
</file>